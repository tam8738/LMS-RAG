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5"/>
    <sheet state="visible" name="Ghi chú WBS" sheetId="2" r:id="rId6"/>
  </sheets>
  <definedNames/>
  <calcPr/>
</workbook>
</file>

<file path=xl/sharedStrings.xml><?xml version="1.0" encoding="utf-8"?>
<sst xmlns="http://schemas.openxmlformats.org/spreadsheetml/2006/main" count="489" uniqueCount="382">
  <si>
    <t>SỐ CẤU TRÚC PHÂN CHIA CÔNG VIỆC (WBS)</t>
  </si>
  <si>
    <t>TIÊU ĐỀ CÔNG VIỆC</t>
  </si>
  <si>
    <t>NGƯỜI 
PHỤ TRÁCH 
CÔNG VIỆC</t>
  </si>
  <si>
    <t>NGÀY BẮT 
ĐẦU</t>
  </si>
  <si>
    <t>NGÀY ĐẾN 
HẠN</t>
  </si>
  <si>
    <t>THỜI 
GIAN</t>
  </si>
  <si>
    <t>PHẦN TRĂM CÔNG VIỆC HOÀN THÀNH</t>
  </si>
  <si>
    <t>NOTE</t>
  </si>
  <si>
    <t>Link</t>
  </si>
  <si>
    <t>NỘI DUNG</t>
  </si>
  <si>
    <t>Công việc chi tiết</t>
  </si>
  <si>
    <t>1</t>
  </si>
  <si>
    <t>Khởi động &amp; phân tích yêu cầu</t>
  </si>
  <si>
    <t>1.1</t>
  </si>
  <si>
    <t>Kickoff dự án</t>
  </si>
  <si>
    <t>Thống nhất phạm vi MVP, vai trò 3 thành viên, công cụ quản lý source code, quy ước đặt tên branch/commit</t>
  </si>
  <si>
    <t>Cả nhóm</t>
  </si>
  <si>
    <t>1.2</t>
  </si>
  <si>
    <t>Phân tích actor</t>
  </si>
  <si>
    <t>Xác định quyền Teacher/Admin, Student và External AI Provider theo luồng nghiệp vụ</t>
  </si>
  <si>
    <t>Phân tích UC_AI.docx</t>
  </si>
  <si>
    <t>1.3</t>
  </si>
  <si>
    <t>Phân tích use case Teacher</t>
  </si>
  <si>
    <t>Tách use case tạo course, tạo lecture, upload tài liệu, sinh summary, sinh quiz, publish nội dung</t>
  </si>
  <si>
    <t>Trương Mỹ Tâm</t>
  </si>
  <si>
    <r>
      <rPr>
        <color rgb="FF1155CC"/>
        <u/>
      </rPr>
      <t>Đặc tả hệ thống - DOAN.docx</t>
    </r>
  </si>
  <si>
    <t>1.4</t>
  </si>
  <si>
    <t>Phân tích use case Student</t>
  </si>
  <si>
    <t>Tách use case join course, xem lecture, xem summary, hỏi đáp RAG, làm quiz, xem kết quả</t>
  </si>
  <si>
    <t>Ngô Thế Việt</t>
  </si>
  <si>
    <t>Update lại Đặc tả hệ thống</t>
  </si>
  <si>
    <t>1.5</t>
  </si>
  <si>
    <t>Phân tích yêu cầu AI</t>
  </si>
  <si>
    <t>Làm rõ parse, clean, chunk, embedding, retrieval, RAG answer, summary generation, quiz generation</t>
  </si>
  <si>
    <t>Nguyễn Thành Đại Khánh</t>
  </si>
  <si>
    <t>1.6</t>
  </si>
  <si>
    <t>Xác định luồng dữ liệu tổng thể</t>
  </si>
  <si>
    <t>Vẽ luồng từ upload tài liệu đến xử lý AI, lưu vector, hỏi đáp, summary và quiz</t>
  </si>
  <si>
    <t>1.7</t>
  </si>
  <si>
    <t>Xác định API nội bộ</t>
  </si>
  <si>
    <t>Liệt kê API Backend gọi FastAPI: process-document, generate-summary, generate-quiz, answer-question</t>
  </si>
  <si>
    <t>API nội bộ</t>
  </si>
  <si>
    <t>1.8</t>
  </si>
  <si>
    <t>Chốt backlog MVP</t>
  </si>
  <si>
    <t>Ưu tiên chức năng Must-have/Should-have; loại bỏ tính năng ngoài MVP</t>
  </si>
  <si>
    <t>2</t>
  </si>
  <si>
    <t>Thiết kế hệ thống</t>
  </si>
  <si>
    <t>2.1</t>
  </si>
  <si>
    <t>Thiết kế kiến trúc tổng thể</t>
  </si>
  <si>
    <t>Thiết kế kiến trúc React + Spring Boot + FastAPI + PostgreSQL/pgvector + OpenAI API</t>
  </si>
  <si>
    <t>kien_truc_tong_the</t>
  </si>
  <si>
    <t>2.2</t>
  </si>
  <si>
    <t>Thiết kế database người dùng</t>
  </si>
  <si>
    <t>Thiết kế bảng users, roles hoặc trường role, ràng buộc email, password hash</t>
  </si>
  <si>
    <t>2.3</t>
  </si>
  <si>
    <t>Thiết kế database course/lecture</t>
  </si>
  <si>
    <t>Thiết kế bảng courses, course_members, lectures, quan hệ Teacher-Student-Course-Lecture</t>
  </si>
  <si>
    <t>2.4</t>
  </si>
  <si>
    <t>Thiết kế database document</t>
  </si>
  <si>
    <t>Thiết kế bảng documents, trạng thái uploaded/processing/processed/failed, metadata file</t>
  </si>
  <si>
    <t>2.5</t>
  </si>
  <si>
    <t>Thiết kế database summary/quiz/chat</t>
  </si>
  <si>
    <t>Thiết kế bảng summaries, quizzes, questions, options, attempts, chat_sessions, chat_messages, citations</t>
  </si>
  <si>
    <t>2.6</t>
  </si>
  <si>
    <t>Thiết kế vector schema</t>
  </si>
  <si>
    <t>Thiết kế bảng document_chunks gồm document_id, lecture_id, page_number, chunk_index, content, embedding</t>
  </si>
  <si>
    <t>2.7</t>
  </si>
  <si>
    <t>Thiết kế API contract Backend</t>
  </si>
  <si>
    <t>Định nghĩa request/response cho Auth, Course, Lecture, Document, Summary, Quiz, Chat</t>
  </si>
  <si>
    <t>API_Contract_LMS_RAG.docx</t>
  </si>
  <si>
    <t>2.8</t>
  </si>
  <si>
    <t>Thiết kế API contract AI Service</t>
  </si>
  <si>
    <t>Định nghĩa request/response dạng JSON cho process, summary, quiz, question answering</t>
  </si>
  <si>
    <t>2.9</t>
  </si>
  <si>
    <t>Wireframe + UI Design bằng Figma frontend</t>
  </si>
  <si>
    <t>Vẽ các màn Login, Dashboard, Course, Lecture, Upload, Summary, Chat, Quiz</t>
  </si>
  <si>
    <t>2.10</t>
  </si>
  <si>
    <t>Thiết kế rule phân quyền</t>
  </si>
  <si>
    <t>Xác định rule: Teacher chỉ quản lý course mình tạo, Student chỉ xem course đã join, không xem draft</t>
  </si>
  <si>
    <t>3</t>
  </si>
  <si>
    <t>Khởi tạo môi trường &amp; project</t>
  </si>
  <si>
    <t>3.1</t>
  </si>
  <si>
    <t>Tạo repository</t>
  </si>
  <si>
    <t>Tạo cấu trúc repo gồm backend, frontend, ai-service, docs, docker-compose</t>
  </si>
  <si>
    <t>3.2</t>
  </si>
  <si>
    <t>Khởi tạo Spring Boot</t>
  </si>
  <si>
    <t>Tạo project Spring Boot, cấu hình package controller/service/repository/entity/dto/config</t>
  </si>
  <si>
    <t>3.3</t>
  </si>
  <si>
    <t>Cấu hình PostgreSQL</t>
  </si>
  <si>
    <t>Tạo kết nối datasource, cấu hình JPA, migration hoặc ddl-auto cho giai đoạn MVP</t>
  </si>
  <si>
    <t>3.4</t>
  </si>
  <si>
    <t>Cấu hình Swagger/OpenAPI</t>
  </si>
  <si>
    <t>Thêm Swagger UI, mô tả API ban đầu, cấu hình security scheme JWT</t>
  </si>
  <si>
    <t>3.5</t>
  </si>
  <si>
    <t>Khởi tạo React + Vite</t>
  </si>
  <si>
    <t>Tạo project React, cài router, axios, cấu trúc pages/components/services/hooks</t>
  </si>
  <si>
    <t>3.6</t>
  </si>
  <si>
    <t>Tạo layout frontend</t>
  </si>
  <si>
    <t>Tạo MainLayout, AuthLayout, Sidebar, Header, route theo role</t>
  </si>
  <si>
    <t>3.7</t>
  </si>
  <si>
    <t>Khởi tạo FastAPI</t>
  </si>
  <si>
    <t>Tạo service FastAPI, health check endpoint, cấu hình env OpenAI key và database url</t>
  </si>
  <si>
    <t>3.8</t>
  </si>
  <si>
    <t>Cấu hình pgvector</t>
  </si>
  <si>
    <t>Cài extension pgvector, tạo kết nối Python đến PostgreSQL, test lưu vector mẫu</t>
  </si>
  <si>
    <t>3.9</t>
  </si>
  <si>
    <t>Docker Compose local</t>
  </si>
  <si>
    <t>Viết docker-compose cho PostgreSQL, backend, ai-service, frontend nếu kịp</t>
  </si>
  <si>
    <t>3.10</t>
  </si>
  <si>
    <t>Tài liệu setup môi trường</t>
  </si>
  <si>
    <t>Viết README hướng dẫn chạy từng service, biến môi trường, port sử dụng</t>
  </si>
  <si>
    <t>4</t>
  </si>
  <si>
    <t>Authentication &amp; phân quyền</t>
  </si>
  <si>
    <t>4.1</t>
  </si>
  <si>
    <t>Backend đăng ký tài khoản</t>
  </si>
  <si>
    <t>Viết API register, validate email trùng, hash password, lưu role</t>
  </si>
  <si>
    <t>4.2</t>
  </si>
  <si>
    <t>Backend đăng nhập</t>
  </si>
  <si>
    <t>Viết API login, kiểm tra password, sinh access token JWT</t>
  </si>
  <si>
    <t>4.3</t>
  </si>
  <si>
    <t>JWT filter</t>
  </si>
  <si>
    <t>Tạo filter đọc Bearer token, xác thực user, gắn SecurityContext</t>
  </si>
  <si>
    <t>4.4</t>
  </si>
  <si>
    <t>Role authorization</t>
  </si>
  <si>
    <t>Cấu hình endpoint theo role Teacher/Admin và Student</t>
  </si>
  <si>
    <t>4.5</t>
  </si>
  <si>
    <t>Auth API test</t>
  </si>
  <si>
    <t>Test register/login/token expired/access denied bằng Postman hoặc Swagger</t>
  </si>
  <si>
    <t>4.6</t>
  </si>
  <si>
    <t>Login UI</t>
  </si>
  <si>
    <t>Làm màn đăng nhập, validate form, gọi API login, lưu token</t>
  </si>
  <si>
    <t>4.7</t>
  </si>
  <si>
    <t>Register UI</t>
  </si>
  <si>
    <t>Làm màn đăng ký, chọn role, hiển thị lỗi email/mật khẩu</t>
  </si>
  <si>
    <t>Triển khai sau</t>
  </si>
  <si>
    <t>4.8</t>
  </si>
  <si>
    <t>Protected Route</t>
  </si>
  <si>
    <t>Chặn route khi chưa đăng nhập, điều hướng dashboard theo role</t>
  </si>
  <si>
    <t>4.9</t>
  </si>
  <si>
    <t>Auth state management</t>
  </si>
  <si>
    <t>Tạo auth context/store, hàm logout, refresh user profile cơ bản</t>
  </si>
  <si>
    <t>4.10</t>
  </si>
  <si>
    <t>Test luồng Auth FE-BE</t>
  </si>
  <si>
    <t>Test đăng ký, đăng nhập, logout, chặn route, sai quyền</t>
  </si>
  <si>
    <t>5</t>
  </si>
  <si>
    <t>Course &amp; Lecture</t>
  </si>
  <si>
    <t>5.1</t>
  </si>
  <si>
    <t>Entity Course</t>
  </si>
  <si>
    <t>Tạo entity, DTO, repository cho Course; trường name, description, courseCode, ownerId</t>
  </si>
  <si>
    <t>5.2</t>
  </si>
  <si>
    <t>Course CRUD API</t>
  </si>
  <si>
    <t>Viết API tạo, xem danh sách, xem chi tiết, cập nhật course</t>
  </si>
  <si>
    <t>5.3</t>
  </si>
  <si>
    <t>Sinh course code</t>
  </si>
  <si>
    <t>Viết logic sinh mã lớp duy nhất, xử lý trùng mã</t>
  </si>
  <si>
    <t>5.4</t>
  </si>
  <si>
    <t>Student join course</t>
  </si>
  <si>
    <t>Viết API Student nhập course code, tạo record course_members</t>
  </si>
  <si>
    <t>5.5</t>
  </si>
  <si>
    <t>Entity Lecture</t>
  </si>
  <si>
    <t>Tạo entity, DTO, repository cho Lecture; gắn lecture với course</t>
  </si>
  <si>
    <t>5.6</t>
  </si>
  <si>
    <t>Lecture CRUD API</t>
  </si>
  <si>
    <t>Viết API tạo, xem danh sách, xem chi tiết, cập nhật lecture</t>
  </si>
  <si>
    <t>5.7</t>
  </si>
  <si>
    <t>Permission course/lecture</t>
  </si>
  <si>
    <t>Kiểm tra Teacher chỉ sửa course mình tạo, Student chỉ xem course đã tham gia</t>
  </si>
  <si>
    <t>5.8</t>
  </si>
  <si>
    <t>Course UI Teacher</t>
  </si>
  <si>
    <t>Làm màn danh sách course, tạo/sửa course, copy course code</t>
  </si>
  <si>
    <t>5.9</t>
  </si>
  <si>
    <t>Course UI Student</t>
  </si>
  <si>
    <t>Làm màn course đã tham gia, form nhập course code</t>
  </si>
  <si>
    <t>5.10</t>
  </si>
  <si>
    <t>Lecture UI Teacher</t>
  </si>
  <si>
    <t>Làm màn danh sách lecture, tạo/sửa lecture trong course</t>
  </si>
  <si>
    <t>5.11</t>
  </si>
  <si>
    <t>Lecture UI Student</t>
  </si>
  <si>
    <t>Làm màn xem lecture theo course đã tham gia</t>
  </si>
  <si>
    <t>5.12</t>
  </si>
  <si>
    <t>Test Course/Lecture</t>
  </si>
  <si>
    <t>Test full flow Teacher tạo course/lecture, Student join và xem lecture</t>
  </si>
  <si>
    <t>6</t>
  </si>
  <si>
    <t>Upload tài liệu &amp; xử lý AI</t>
  </si>
  <si>
    <t>6.1</t>
  </si>
  <si>
    <t>Document entity</t>
  </si>
  <si>
    <t>Tạo bảng documents với filename, filetype, path, status, lecture_id, error_message</t>
  </si>
  <si>
    <t>6.2</t>
  </si>
  <si>
    <t>Upload API</t>
  </si>
  <si>
    <t>Viết API upload PDF/TXT, giới hạn 20MB, lưu local storage</t>
  </si>
  <si>
    <t>6.3</t>
  </si>
  <si>
    <t>Document status API</t>
  </si>
  <si>
    <t>Viết API lấy trạng thái xử lý tài liệu theo lecture/document</t>
  </si>
  <si>
    <t>6.4</t>
  </si>
  <si>
    <t>Gọi AI process document</t>
  </si>
  <si>
    <t>Backend gọi FastAPI sau upload, cập nhật processing/processed/failed</t>
  </si>
  <si>
    <t>6.5</t>
  </si>
  <si>
    <t>Upload UI</t>
  </si>
  <si>
    <t>Làm màn upload tài liệu, validate định dạng/dung lượng phía client</t>
  </si>
  <si>
    <t>6.6</t>
  </si>
  <si>
    <t>Document status UI</t>
  </si>
  <si>
    <t>Hiển thị trạng thái uploaded/processing/processed/failed và lỗi xử lý</t>
  </si>
  <si>
    <t>6.7</t>
  </si>
  <si>
    <t>Parse PDF/TXT</t>
  </si>
  <si>
    <t>AI service trích xuất text từ PDF/TXT, xử lý lỗi file rỗng/file lỗi</t>
  </si>
  <si>
    <t>6.8</t>
  </si>
  <si>
    <t>Clean text</t>
  </si>
  <si>
    <t>Xóa ký tự thừa, normalize whitespace, giữ thông tin page_number nếu có</t>
  </si>
  <si>
    <t>6.9</t>
  </si>
  <si>
    <t>Chunking</t>
  </si>
  <si>
    <t>Chia text thành chunks theo kích thước phù hợp, overlap, gắn metadata</t>
  </si>
  <si>
    <t>6.10</t>
  </si>
  <si>
    <t>Embedding</t>
  </si>
  <si>
    <t>Gọi OpenAI embedding cho chunks, xử lý retry và lỗi API</t>
  </si>
  <si>
    <t>6.11</t>
  </si>
  <si>
    <t>Lưu vector pgvector</t>
  </si>
  <si>
    <t>Lưu content, metadata, embedding vào bảng document_chunks</t>
  </si>
  <si>
    <t>6.12</t>
  </si>
  <si>
    <t>Test upload-processing</t>
  </si>
  <si>
    <t>Test upload file mẫu từ UI đến AI xử lý và lưu vector</t>
  </si>
  <si>
    <t>7</t>
  </si>
  <si>
    <t>RAG Chat</t>
  </si>
  <si>
    <t>7.1</t>
  </si>
  <si>
    <t>Retrieval top-k</t>
  </si>
  <si>
    <t>Viết hàm sinh embedding câu hỏi và truy vấn top-k chunks theo lecture_id</t>
  </si>
  <si>
    <t>7.2</t>
  </si>
  <si>
    <t>Prompt RAG answer</t>
  </si>
  <si>
    <t>Thiết kế prompt trả lời dựa trên context, không bịa, trả lời không tìm thấy nếu thiếu dữ liệu</t>
  </si>
  <si>
    <t>7.3</t>
  </si>
  <si>
    <t>Citation response</t>
  </si>
  <si>
    <t>Trả citations gồm document_id, page_number, chunk_index, đoạn nguồn</t>
  </si>
  <si>
    <t>7.4</t>
  </si>
  <si>
    <t>Endpoint answer-question</t>
  </si>
  <si>
    <t>Hoàn thiện API FastAPI nhận lecture_id + question, trả answer + citations</t>
  </si>
  <si>
    <t>7.5</t>
  </si>
  <si>
    <t>Chat entity</t>
  </si>
  <si>
    <t>Tạo bảng lưu chat session/message/citation</t>
  </si>
  <si>
    <t>7.6</t>
  </si>
  <si>
    <t>Chat API Backend</t>
  </si>
  <si>
    <t>Viết API gửi câu hỏi, kiểm tra quyền Student, gọi AI, lưu Q&amp;A và citations</t>
  </si>
  <si>
    <t>7.7</t>
  </si>
  <si>
    <t>Chat history API</t>
  </si>
  <si>
    <t>Viết API xem lại lịch sử hỏi đáp theo lecture/student</t>
  </si>
  <si>
    <t>7.8</t>
  </si>
  <si>
    <t>Chat UI</t>
  </si>
  <si>
    <t>Làm giao diện nhập câu hỏi, hiển thị answer, loading, error</t>
  </si>
  <si>
    <t>7.9</t>
  </si>
  <si>
    <t>Citation UI</t>
  </si>
  <si>
    <t>Hiển thị nguồn trích dẫn, page/chunk, đoạn nguồn có thể mở rộng</t>
  </si>
  <si>
    <t>7.10</t>
  </si>
  <si>
    <t>Chat history UI</t>
  </si>
  <si>
    <t>Hiển thị lịch sử hỏi đáp theo lecture</t>
  </si>
  <si>
    <t>7.11</t>
  </si>
  <si>
    <t>Test RAG</t>
  </si>
  <si>
    <t>Test câu hỏi đúng nội dung, câu hỏi ngoài tài liệu, câu hỏi thiếu context</t>
  </si>
  <si>
    <t>8</t>
  </si>
  <si>
    <t>Summary workflow</t>
  </si>
  <si>
    <t>8.1</t>
  </si>
  <si>
    <t>Prompt sinh summary</t>
  </si>
  <si>
    <t>Thiết kế prompt sinh full summary và exam-review summary bám nội dung tài liệu</t>
  </si>
  <si>
    <t>8.2</t>
  </si>
  <si>
    <t>Endpoint generate-summary</t>
  </si>
  <si>
    <t>FastAPI nhận lecture_id/document_id, retrieve content và trả summary</t>
  </si>
  <si>
    <t>8.3</t>
  </si>
  <si>
    <t>Summary entity</t>
  </si>
  <si>
    <t>Tạo bảng summaries gồm content, type, status draft/published/archived, lecture_id</t>
  </si>
  <si>
    <t>8.4</t>
  </si>
  <si>
    <t>Summary generate API</t>
  </si>
  <si>
    <t>Backend gọi AI sinh summary và lưu draft</t>
  </si>
  <si>
    <t>8.5</t>
  </si>
  <si>
    <t>Summary edit API</t>
  </si>
  <si>
    <t>API xem draft, cập nhật nội dung, publish, unpublish/archive</t>
  </si>
  <si>
    <t>8.6</t>
  </si>
  <si>
    <t>Teacher Summary UI</t>
  </si>
  <si>
    <t>Làm màn generate, xem draft, chỉnh sửa, publish/unpublish summary</t>
  </si>
  <si>
    <t>8.7</t>
  </si>
  <si>
    <t>Student Summary UI</t>
  </si>
  <si>
    <t>Làm màn Student xem summary đã publish, chặn summary draft</t>
  </si>
  <si>
    <t>8.8</t>
  </si>
  <si>
    <t>Test Summary</t>
  </si>
  <si>
    <t>Test AI sinh summary, Teacher chỉnh sửa publish, Student xem được</t>
  </si>
  <si>
    <t>9</t>
  </si>
  <si>
    <t>Quiz workflow</t>
  </si>
  <si>
    <t>9.1</t>
  </si>
  <si>
    <t>Prompt sinh quiz</t>
  </si>
  <si>
    <t>Thiết kế prompt sinh MCQ, Short Answer, đáp án, giải thích, format JSON</t>
  </si>
  <si>
    <t>9.2</t>
  </si>
  <si>
    <t>Endpoint generate-quiz</t>
  </si>
  <si>
    <t>FastAPI trả quiz dạng cấu trúc gồm questions/options/answers/explanations</t>
  </si>
  <si>
    <t>9.3</t>
  </si>
  <si>
    <t>Quiz entity</t>
  </si>
  <si>
    <t>Tạo bảng quizzes, questions, question_options, attempts, attempt_answers</t>
  </si>
  <si>
    <t>9.4</t>
  </si>
  <si>
    <t>Quiz generate API</t>
  </si>
  <si>
    <t>Backend gọi AI sinh quiz và lưu draft</t>
  </si>
  <si>
    <t>9.5</t>
  </si>
  <si>
    <t>Quiz edit/publish API</t>
  </si>
  <si>
    <t>API chỉnh sửa quiz, sửa câu hỏi, xóa câu hỏi, publish quiz</t>
  </si>
  <si>
    <t>9.6</t>
  </si>
  <si>
    <t>Quiz submit API</t>
  </si>
  <si>
    <t>API Student submit bài, tự chấm MCQ, lưu điểm, trả kết quả</t>
  </si>
  <si>
    <t>9.7</t>
  </si>
  <si>
    <t>Teacher Quiz UI</t>
  </si>
  <si>
    <t>Màn review quiz draft, sửa câu hỏi/đáp án, publish</t>
  </si>
  <si>
    <t>9.8</t>
  </si>
  <si>
    <t>Student Quiz UI</t>
  </si>
  <si>
    <t>Màn làm quiz, submit, xem điểm, đáp án và giải thích</t>
  </si>
  <si>
    <t>9.9</t>
  </si>
  <si>
    <t>Test Quiz</t>
  </si>
  <si>
    <t>Test sinh quiz, publish, Student làm bài, xem điểm và giải thích</t>
  </si>
  <si>
    <t>10</t>
  </si>
  <si>
    <t>Dashboard, tích hợp &amp; kiểm thử</t>
  </si>
  <si>
    <t>10.1</t>
  </si>
  <si>
    <t>Dashboard API</t>
  </si>
  <si>
    <t>API thống kê số student, lecture, document, quiz, điểm trung bình cơ bản</t>
  </si>
  <si>
    <t>10.2</t>
  </si>
  <si>
    <t>Dashboard UI</t>
  </si>
  <si>
    <t>Màn dashboard Teacher hiển thị số liệu cơ bản</t>
  </si>
  <si>
    <t>10.3</t>
  </si>
  <si>
    <t>AI evaluation dataset</t>
  </si>
  <si>
    <t>Chuẩn bị file mẫu, câu hỏi mẫu, expected answer/citation để test RAG</t>
  </si>
  <si>
    <t>10.4</t>
  </si>
  <si>
    <t>Prompt tuning</t>
  </si>
  <si>
    <t>Chỉnh prompt RAG/summary/quiz theo kết quả test file mẫu</t>
  </si>
  <si>
    <t>10.5</t>
  </si>
  <si>
    <t>End-to-end test 1</t>
  </si>
  <si>
    <t>Test từ Teacher tạo course đến upload, xử lý tài liệu, sinh summary/quiz</t>
  </si>
  <si>
    <t>10.6</t>
  </si>
  <si>
    <t>End-to-end test 2</t>
  </si>
  <si>
    <t>Test Student join course, xem summary, hỏi đáp, làm quiz</t>
  </si>
  <si>
    <t>10.7</t>
  </si>
  <si>
    <t>Security test</t>
  </si>
  <si>
    <t>Test truy cập trái quyền: Student xem draft, sửa course, truy cập course chưa join</t>
  </si>
  <si>
    <t>10.8</t>
  </si>
  <si>
    <t>Bug fixing BE</t>
  </si>
  <si>
    <t>Sửa lỗi API, validate, exception handler, response format</t>
  </si>
  <si>
    <t>10.9</t>
  </si>
  <si>
    <t>Bug fixing FE</t>
  </si>
  <si>
    <t>Sửa lỗi UI, loading, error state, responsive cơ bản</t>
  </si>
  <si>
    <t>10.10</t>
  </si>
  <si>
    <t>Bug fixing AI</t>
  </si>
  <si>
    <t>Sửa lỗi parse/chunk/retrieval, xử lý not-found và lỗi OpenAI</t>
  </si>
  <si>
    <t>11</t>
  </si>
  <si>
    <t>Hoàn thiện demo &amp; báo cáo</t>
  </si>
  <si>
    <t>11.1</t>
  </si>
  <si>
    <t>Hoàn thiện Swagger</t>
  </si>
  <si>
    <t>Kiểm tra mô tả endpoint, request/response mẫu, security JWT</t>
  </si>
  <si>
    <t>11.2</t>
  </si>
  <si>
    <t>Polish giao diện</t>
  </si>
  <si>
    <t>Chuẩn hóa menu, breadcrumb, toast, thông báo lỗi, dữ liệu rỗng</t>
  </si>
  <si>
    <t>11.3</t>
  </si>
  <si>
    <t>Ghi nhận kết quả đánh giá AI</t>
  </si>
  <si>
    <t>Tổng hợp test RAG, summary, quiz; ghi hạn chế hallucination/citation</t>
  </si>
  <si>
    <t>11.4</t>
  </si>
  <si>
    <t>Viết báo cáo chương hệ thống</t>
  </si>
  <si>
    <t>Viết giới thiệu, mục tiêu, phạm vi MVP, actor, yêu cầu chức năng</t>
  </si>
  <si>
    <t>11.5</t>
  </si>
  <si>
    <t>Viết báo cáo thiết kế</t>
  </si>
  <si>
    <t>Viết kiến trúc, ERD, API, phân quyền, luồng dữ liệu</t>
  </si>
  <si>
    <t>11.6</t>
  </si>
  <si>
    <t>Viết báo cáo AI pipeline</t>
  </si>
  <si>
    <t>Viết parse, chunk, embedding, retrieval, prompt, citation, evaluation</t>
  </si>
  <si>
    <t>11.7</t>
  </si>
  <si>
    <t>Chụp screenshot demo</t>
  </si>
  <si>
    <t>Chụp màn hình các chức năng chính Teacher và Student</t>
  </si>
  <si>
    <t>11.8</t>
  </si>
  <si>
    <t>Chuẩn bị kịch bản demo</t>
  </si>
  <si>
    <t>Soạn script demo: tạo course, upload tài liệu, summary, chat, quiz</t>
  </si>
  <si>
    <t>11.9</t>
  </si>
  <si>
    <t>Tổng duyệt demo</t>
  </si>
  <si>
    <t>Chạy thử demo full flow, chuẩn bị dữ liệu mẫu, kiểm tra lỗi lần cuối</t>
  </si>
  <si>
    <t>11.10</t>
  </si>
  <si>
    <t>Đóng gói nộp bài</t>
  </si>
  <si>
    <t>Kiểm tra source code, README, báo cáo, slide/video nếu có</t>
  </si>
  <si>
    <t>Ghi chú màu Gantt</t>
  </si>
  <si>
    <t>Backend</t>
  </si>
  <si>
    <t>Thành viên 1 - Backend</t>
  </si>
  <si>
    <t>Frontend</t>
  </si>
  <si>
    <t>Thành viên 2 - Frontend</t>
  </si>
  <si>
    <t>AI Service</t>
  </si>
  <si>
    <t>Thành viên 3 - AI Service</t>
  </si>
  <si>
    <t>Tích hợp, kiểm thử, báo cáo, demo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</si>
</sst>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.m"/>
  </numFmts>
  <fonts count="15">
    <font>
      <sz val="10.0"/>
      <color rgb="FF000000"/>
      <name val="Arial"/>
      <scheme val="minor"/>
    </font>
    <font>
      <b/>
      <sz val="13.0"/>
      <color rgb="FF000000"/>
      <name val="Roboto"/>
    </font>
    <font>
      <sz val="13.0"/>
      <color theme="1"/>
      <name val="Arial"/>
      <scheme val="minor"/>
    </font>
    <font/>
    <font>
      <b/>
      <sz val="13.0"/>
      <color theme="1"/>
      <name val="Calibri"/>
    </font>
    <font>
      <sz val="13.0"/>
      <color theme="1"/>
      <name val="Calibri"/>
    </font>
    <font>
      <u/>
      <sz val="13.0"/>
      <color rgb="FF0000FF"/>
      <name val="Calibri"/>
    </font>
    <font>
      <u/>
      <color rgb="FF0000FF"/>
    </font>
    <font>
      <u/>
      <sz val="13.0"/>
      <color theme="1"/>
      <name val="Calibri"/>
    </font>
    <font>
      <u/>
      <sz val="13.0"/>
      <color theme="1"/>
      <name val="Calibri"/>
    </font>
    <font>
      <u/>
      <sz val="13.0"/>
      <color theme="1"/>
      <name val="Arial"/>
      <scheme val="minor"/>
    </font>
    <font>
      <b/>
      <sz val="14.0"/>
      <color theme="1"/>
      <name val="Arial"/>
    </font>
    <font>
      <b/>
      <sz val="10.0"/>
      <color rgb="FFFFFFFF"/>
      <name val="Arial"/>
    </font>
    <font>
      <sz val="10.0"/>
      <color rgb="FF000000"/>
      <name val="Arial"/>
    </font>
    <font>
      <b/>
      <sz val="10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EAF7"/>
        <bgColor rgb="FFD9EAF7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</fills>
  <borders count="10">
    <border/>
    <border>
      <left/>
      <right/>
      <top/>
    </border>
    <border>
      <left/>
      <right/>
      <top/>
      <bottom/>
    </border>
    <border>
      <left/>
      <top/>
    </border>
    <border>
      <left/>
      <right/>
    </border>
    <border>
      <left/>
    </border>
    <border>
      <left/>
      <right/>
      <bottom/>
    </border>
    <border>
      <lef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0" fillId="0" fontId="2" numFmtId="0" xfId="0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3" fontId="4" numFmtId="0" xfId="0" applyAlignment="1" applyBorder="1" applyFill="1" applyFont="1">
      <alignment horizontal="center" shrinkToFit="0" vertical="center" wrapText="1"/>
    </xf>
    <xf borderId="8" fillId="3" fontId="4" numFmtId="14" xfId="0" applyAlignment="1" applyBorder="1" applyFont="1" applyNumberFormat="1">
      <alignment horizontal="center" shrinkToFit="0" vertical="center" wrapText="1"/>
    </xf>
    <xf borderId="8" fillId="3" fontId="4" numFmtId="1" xfId="0" applyAlignment="1" applyBorder="1" applyFont="1" applyNumberFormat="1">
      <alignment horizontal="center" shrinkToFit="0" vertical="center" wrapText="1"/>
    </xf>
    <xf borderId="8" fillId="0" fontId="5" numFmtId="164" xfId="0" applyAlignment="1" applyBorder="1" applyFont="1" applyNumberFormat="1">
      <alignment horizontal="center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8" fillId="0" fontId="5" numFmtId="14" xfId="0" applyAlignment="1" applyBorder="1" applyFont="1" applyNumberFormat="1">
      <alignment horizontal="center" shrinkToFit="0" vertical="center" wrapText="1"/>
    </xf>
    <xf borderId="8" fillId="0" fontId="5" numFmtId="1" xfId="0" applyAlignment="1" applyBorder="1" applyFont="1" applyNumberFormat="1">
      <alignment horizontal="center" shrinkToFit="0" vertical="center" wrapText="1"/>
    </xf>
    <xf borderId="8" fillId="0" fontId="5" numFmtId="9" xfId="0" applyAlignment="1" applyBorder="1" applyFont="1" applyNumberFormat="1">
      <alignment horizontal="center" readingOrder="0" shrinkToFit="0" vertical="center" wrapText="1"/>
    </xf>
    <xf borderId="8" fillId="0" fontId="2" numFmtId="0" xfId="0" applyBorder="1" applyFont="1"/>
    <xf borderId="8" fillId="0" fontId="5" numFmtId="49" xfId="0" applyAlignment="1" applyBorder="1" applyFont="1" applyNumberFormat="1">
      <alignment horizontal="center" shrinkToFit="0" vertical="center" wrapText="1"/>
    </xf>
    <xf borderId="8" fillId="0" fontId="5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 readingOrder="0" shrinkToFit="0" vertical="center" wrapText="1"/>
    </xf>
    <xf borderId="8" fillId="4" fontId="5" numFmtId="49" xfId="0" applyAlignment="1" applyBorder="1" applyFill="1" applyFont="1" applyNumberFormat="1">
      <alignment horizontal="center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8" fillId="4" fontId="5" numFmtId="14" xfId="0" applyAlignment="1" applyBorder="1" applyFont="1" applyNumberFormat="1">
      <alignment horizontal="center" shrinkToFit="0" vertical="center" wrapText="1"/>
    </xf>
    <xf borderId="8" fillId="4" fontId="5" numFmtId="1" xfId="0" applyAlignment="1" applyBorder="1" applyFont="1" applyNumberFormat="1">
      <alignment horizontal="center" shrinkToFit="0" vertical="center" wrapText="1"/>
    </xf>
    <xf borderId="8" fillId="4" fontId="5" numFmtId="9" xfId="0" applyAlignment="1" applyBorder="1" applyFont="1" applyNumberFormat="1">
      <alignment horizontal="center" readingOrder="0" shrinkToFit="0" vertical="center" wrapText="1"/>
    </xf>
    <xf borderId="8" fillId="4" fontId="5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readingOrder="0"/>
    </xf>
    <xf borderId="0" fillId="4" fontId="2" numFmtId="0" xfId="0" applyFont="1"/>
    <xf borderId="8" fillId="5" fontId="5" numFmtId="49" xfId="0" applyAlignment="1" applyBorder="1" applyFill="1" applyFont="1" applyNumberFormat="1">
      <alignment horizontal="center" shrinkToFit="0" vertical="center" wrapText="1"/>
    </xf>
    <xf borderId="8" fillId="5" fontId="5" numFmtId="0" xfId="0" applyAlignment="1" applyBorder="1" applyFont="1">
      <alignment horizontal="center" shrinkToFit="0" vertical="center" wrapText="1"/>
    </xf>
    <xf borderId="8" fillId="5" fontId="5" numFmtId="14" xfId="0" applyAlignment="1" applyBorder="1" applyFont="1" applyNumberFormat="1">
      <alignment horizontal="center" shrinkToFit="0" vertical="center" wrapText="1"/>
    </xf>
    <xf borderId="8" fillId="5" fontId="5" numFmtId="1" xfId="0" applyAlignment="1" applyBorder="1" applyFont="1" applyNumberFormat="1">
      <alignment horizontal="center" shrinkToFit="0" vertical="center" wrapText="1"/>
    </xf>
    <xf borderId="8" fillId="5" fontId="5" numFmtId="9" xfId="0" applyAlignment="1" applyBorder="1" applyFont="1" applyNumberFormat="1">
      <alignment horizontal="center" readingOrder="0" shrinkToFit="0" vertical="center" wrapText="1"/>
    </xf>
    <xf borderId="9" fillId="0" fontId="5" numFmtId="0" xfId="0" applyAlignment="1" applyBorder="1" applyFont="1">
      <alignment horizontal="center" readingOrder="0" shrinkToFit="0" vertical="center" wrapText="1"/>
    </xf>
    <xf borderId="0" fillId="5" fontId="2" numFmtId="0" xfId="0" applyFont="1"/>
    <xf borderId="8" fillId="6" fontId="5" numFmtId="0" xfId="0" applyAlignment="1" applyBorder="1" applyFill="1" applyFont="1">
      <alignment horizontal="center" shrinkToFit="0" vertical="center" wrapText="1"/>
    </xf>
    <xf borderId="8" fillId="6" fontId="5" numFmtId="14" xfId="0" applyAlignment="1" applyBorder="1" applyFont="1" applyNumberFormat="1">
      <alignment horizontal="center" shrinkToFit="0" vertical="center" wrapText="1"/>
    </xf>
    <xf borderId="8" fillId="6" fontId="5" numFmtId="1" xfId="0" applyAlignment="1" applyBorder="1" applyFont="1" applyNumberFormat="1">
      <alignment horizontal="center" shrinkToFit="0" vertical="center" wrapText="1"/>
    </xf>
    <xf borderId="8" fillId="7" fontId="2" numFmtId="0" xfId="0" applyBorder="1" applyFill="1" applyFont="1"/>
    <xf borderId="0" fillId="6" fontId="2" numFmtId="0" xfId="0" applyFont="1"/>
    <xf borderId="8" fillId="0" fontId="5" numFmtId="9" xfId="0" applyAlignment="1" applyBorder="1" applyFont="1" applyNumberFormat="1">
      <alignment horizontal="center" shrinkToFit="0" vertical="center" wrapText="1"/>
    </xf>
    <xf borderId="8" fillId="4" fontId="8" numFmtId="0" xfId="0" applyAlignment="1" applyBorder="1" applyFont="1">
      <alignment horizontal="center" readingOrder="0" shrinkToFit="0" vertical="center" wrapText="1"/>
    </xf>
    <xf borderId="8" fillId="3" fontId="4" numFmtId="49" xfId="0" applyAlignment="1" applyBorder="1" applyFont="1" applyNumberFormat="1">
      <alignment horizontal="center" shrinkToFit="0" vertical="center" wrapText="1"/>
    </xf>
    <xf borderId="8" fillId="3" fontId="4" numFmtId="9" xfId="0" applyAlignment="1" applyBorder="1" applyFont="1" applyNumberFormat="1">
      <alignment horizontal="center" shrinkToFit="0" vertical="center" wrapText="1"/>
    </xf>
    <xf borderId="8" fillId="4" fontId="5" numFmtId="0" xfId="0" applyAlignment="1" applyBorder="1" applyFont="1">
      <alignment horizontal="center" readingOrder="0" shrinkToFit="0" vertical="center" wrapText="1"/>
    </xf>
    <xf borderId="8" fillId="4" fontId="9" numFmtId="0" xfId="0" applyAlignment="1" applyBorder="1" applyFont="1">
      <alignment horizontal="center" readingOrder="0" shrinkToFit="0" vertical="center" wrapText="1"/>
    </xf>
    <xf borderId="8" fillId="4" fontId="5" numFmtId="9" xfId="0" applyAlignment="1" applyBorder="1" applyFont="1" applyNumberFormat="1">
      <alignment horizontal="center" shrinkToFit="0" vertical="center" wrapText="1"/>
    </xf>
    <xf borderId="8" fillId="4" fontId="2" numFmtId="0" xfId="0" applyBorder="1" applyFont="1"/>
    <xf borderId="8" fillId="4" fontId="5" numFmtId="164" xfId="0" applyAlignment="1" applyBorder="1" applyFont="1" applyNumberFormat="1">
      <alignment horizontal="center" shrinkToFit="0" vertical="center" wrapText="1"/>
    </xf>
    <xf borderId="8" fillId="6" fontId="5" numFmtId="164" xfId="0" applyAlignment="1" applyBorder="1" applyFont="1" applyNumberFormat="1">
      <alignment horizontal="center" shrinkToFit="0" vertical="center" wrapText="1"/>
    </xf>
    <xf borderId="8" fillId="6" fontId="5" numFmtId="9" xfId="0" applyAlignment="1" applyBorder="1" applyFont="1" applyNumberFormat="1">
      <alignment horizontal="center" shrinkToFit="0" vertical="center" wrapText="1"/>
    </xf>
    <xf borderId="8" fillId="6" fontId="2" numFmtId="0" xfId="0" applyBorder="1" applyFont="1"/>
    <xf borderId="8" fillId="6" fontId="5" numFmtId="9" xfId="0" applyAlignment="1" applyBorder="1" applyFont="1" applyNumberFormat="1">
      <alignment horizontal="center" readingOrder="0" shrinkToFit="0" vertical="center" wrapText="1"/>
    </xf>
    <xf borderId="8" fillId="4" fontId="10" numFmtId="0" xfId="0" applyAlignment="1" applyBorder="1" applyFont="1">
      <alignment readingOrder="0"/>
    </xf>
    <xf borderId="8" fillId="5" fontId="5" numFmtId="164" xfId="0" applyAlignment="1" applyBorder="1" applyFont="1" applyNumberFormat="1">
      <alignment horizontal="center" shrinkToFit="0" vertical="center" wrapText="1"/>
    </xf>
    <xf borderId="8" fillId="5" fontId="5" numFmtId="0" xfId="0" applyAlignment="1" applyBorder="1" applyFont="1">
      <alignment horizontal="center" readingOrder="0" shrinkToFit="0" vertical="center" wrapText="1"/>
    </xf>
    <xf borderId="8" fillId="5" fontId="5" numFmtId="9" xfId="0" applyAlignment="1" applyBorder="1" applyFont="1" applyNumberFormat="1">
      <alignment horizontal="center" shrinkToFit="0" vertical="center" wrapText="1"/>
    </xf>
    <xf borderId="8" fillId="5" fontId="2" numFmtId="0" xfId="0" applyBorder="1" applyFont="1"/>
    <xf borderId="8" fillId="3" fontId="4" numFmtId="164" xfId="0" applyAlignment="1" applyBorder="1" applyFont="1" applyNumberFormat="1">
      <alignment horizontal="center" shrinkToFit="0" vertical="center" wrapText="1"/>
    </xf>
    <xf borderId="0" fillId="0" fontId="5" numFmtId="0" xfId="0" applyFont="1"/>
    <xf borderId="0" fillId="0" fontId="11" numFmtId="0" xfId="0" applyFont="1"/>
    <xf borderId="2" fillId="4" fontId="12" numFmtId="0" xfId="0" applyAlignment="1" applyBorder="1" applyFont="1">
      <alignment horizontal="center"/>
    </xf>
    <xf borderId="0" fillId="0" fontId="13" numFmtId="0" xfId="0" applyAlignment="1" applyFont="1">
      <alignment shrinkToFit="0" wrapText="1"/>
    </xf>
    <xf borderId="2" fillId="5" fontId="14" numFmtId="0" xfId="0" applyAlignment="1" applyBorder="1" applyFont="1">
      <alignment horizontal="center"/>
    </xf>
    <xf borderId="2" fillId="6" fontId="12" numFmtId="0" xfId="0" applyAlignment="1" applyBorder="1" applyFont="1">
      <alignment horizontal="center"/>
    </xf>
    <xf borderId="2" fillId="8" fontId="1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mTobOU-nbxIdKbbytYYtwwSQU36zVGGD/edit?usp=sharing&amp;ouid=110885565224867539502&amp;rtpof=true&amp;sd=true" TargetMode="External"/><Relationship Id="rId2" Type="http://schemas.openxmlformats.org/officeDocument/2006/relationships/hyperlink" Target="https://1drv.ms/w/c/1712b2a0515946ab/IQANr1-bVheHRaV7Q0AqZnnVAepEIl_cOqjANE8s37UvDJY?e=OFTEhc" TargetMode="External"/><Relationship Id="rId3" Type="http://schemas.openxmlformats.org/officeDocument/2006/relationships/hyperlink" Target="https://docs.google.com/document/d/1YRkrrR-OAuqohskLuOAaSwAgn-4nGewsti-KBamLpcs/edit?usp=sharing" TargetMode="External"/><Relationship Id="rId4" Type="http://schemas.openxmlformats.org/officeDocument/2006/relationships/hyperlink" Target="https://docs.google.com/document/d/1zKUor7Ypa7J_uEI9WkQseLHBBrIfAeWwF-vclUB8-Ec/edit?usp=sharing" TargetMode="External"/><Relationship Id="rId5" Type="http://schemas.openxmlformats.org/officeDocument/2006/relationships/hyperlink" Target="https://docs.google.com/document/d/1Dyl08_4mqCJjK0hDyr2j9b1AKkTK_Qye/edit?usp=sharing&amp;ouid=110885565224867539502&amp;rtpof=true&amp;sd=true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8.63"/>
    <col customWidth="1" min="2" max="2" width="26.25"/>
    <col customWidth="1" min="3" max="3" width="60.13"/>
    <col customWidth="1" min="4" max="4" width="17.13"/>
    <col customWidth="1" min="5" max="6" width="10.38"/>
    <col customWidth="1" min="7" max="8" width="8.38"/>
    <col customWidth="1" min="9" max="9" width="27.0"/>
    <col customWidth="1" min="10" max="10" width="26.88"/>
    <col hidden="1" min="11" max="20" width="12.63"/>
  </cols>
  <sheetData>
    <row r="1">
      <c r="A1" s="1" t="s">
        <v>0</v>
      </c>
      <c r="B1" s="2" t="s">
        <v>1</v>
      </c>
      <c r="C1" s="3"/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4" t="s">
        <v>7</v>
      </c>
      <c r="J1" s="4" t="s">
        <v>8</v>
      </c>
      <c r="K1" s="5"/>
      <c r="L1" s="5"/>
      <c r="M1" s="5"/>
      <c r="N1" s="5"/>
      <c r="O1" s="5"/>
      <c r="P1" s="5"/>
      <c r="Q1" s="5"/>
      <c r="R1" s="5"/>
      <c r="S1" s="5"/>
      <c r="T1" s="5"/>
    </row>
    <row r="2">
      <c r="A2" s="6"/>
      <c r="B2" s="6"/>
      <c r="C2" s="3" t="s">
        <v>9</v>
      </c>
      <c r="D2" s="6"/>
      <c r="E2" s="6"/>
      <c r="F2" s="6"/>
      <c r="G2" s="6"/>
      <c r="H2" s="6"/>
      <c r="I2" s="7"/>
      <c r="J2" s="7"/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8"/>
      <c r="B3" s="8"/>
      <c r="C3" s="3" t="s">
        <v>10</v>
      </c>
      <c r="D3" s="8"/>
      <c r="E3" s="8"/>
      <c r="F3" s="8"/>
      <c r="G3" s="8"/>
      <c r="H3" s="8"/>
      <c r="I3" s="9"/>
      <c r="J3" s="9"/>
      <c r="K3" s="5"/>
      <c r="L3" s="5"/>
      <c r="M3" s="5"/>
      <c r="N3" s="5"/>
      <c r="O3" s="5"/>
      <c r="P3" s="5"/>
      <c r="Q3" s="5"/>
      <c r="R3" s="5"/>
      <c r="S3" s="5"/>
      <c r="T3" s="5"/>
    </row>
    <row r="4" ht="38.25" customHeight="1">
      <c r="A4" s="10" t="s">
        <v>11</v>
      </c>
      <c r="B4" s="10" t="s">
        <v>12</v>
      </c>
      <c r="C4" s="10"/>
      <c r="D4" s="10"/>
      <c r="E4" s="11"/>
      <c r="F4" s="11"/>
      <c r="G4" s="12"/>
      <c r="H4" s="10"/>
      <c r="I4" s="10"/>
      <c r="J4" s="10"/>
      <c r="K4" s="5"/>
      <c r="L4" s="5"/>
      <c r="M4" s="5"/>
      <c r="N4" s="5"/>
      <c r="O4" s="5"/>
      <c r="P4" s="5"/>
      <c r="Q4" s="5"/>
      <c r="R4" s="5"/>
      <c r="S4" s="5"/>
      <c r="T4" s="5"/>
    </row>
    <row r="5" ht="36.0" customHeight="1">
      <c r="A5" s="13" t="s">
        <v>13</v>
      </c>
      <c r="B5" s="14" t="s">
        <v>14</v>
      </c>
      <c r="C5" s="14" t="s">
        <v>15</v>
      </c>
      <c r="D5" s="14" t="s">
        <v>16</v>
      </c>
      <c r="E5" s="15">
        <v>46174.0</v>
      </c>
      <c r="F5" s="15">
        <v>46174.0</v>
      </c>
      <c r="G5" s="16">
        <f t="shared" ref="G5:G12" si="1">F5-E5+1</f>
        <v>1</v>
      </c>
      <c r="H5" s="17">
        <v>1.0</v>
      </c>
      <c r="I5" s="17"/>
      <c r="J5" s="18"/>
      <c r="K5" s="5"/>
      <c r="L5" s="5"/>
      <c r="M5" s="5"/>
      <c r="N5" s="5"/>
      <c r="O5" s="5"/>
      <c r="P5" s="5"/>
      <c r="Q5" s="5"/>
      <c r="R5" s="5"/>
      <c r="S5" s="5"/>
      <c r="T5" s="5"/>
    </row>
    <row r="6" ht="36.0" customHeight="1">
      <c r="A6" s="19" t="s">
        <v>17</v>
      </c>
      <c r="B6" s="14" t="s">
        <v>18</v>
      </c>
      <c r="C6" s="14" t="s">
        <v>19</v>
      </c>
      <c r="D6" s="14" t="s">
        <v>16</v>
      </c>
      <c r="E6" s="15">
        <v>46174.0</v>
      </c>
      <c r="F6" s="15">
        <v>46175.0</v>
      </c>
      <c r="G6" s="16">
        <f t="shared" si="1"/>
        <v>2</v>
      </c>
      <c r="H6" s="17">
        <v>1.0</v>
      </c>
      <c r="I6" s="20"/>
      <c r="J6" s="21" t="s">
        <v>20</v>
      </c>
      <c r="K6" s="5"/>
      <c r="L6" s="5"/>
      <c r="M6" s="5"/>
      <c r="N6" s="5"/>
      <c r="O6" s="5"/>
      <c r="P6" s="5"/>
      <c r="Q6" s="5"/>
      <c r="R6" s="5"/>
      <c r="S6" s="5"/>
      <c r="T6" s="5"/>
    </row>
    <row r="7" ht="36.0" customHeight="1">
      <c r="A7" s="22" t="s">
        <v>21</v>
      </c>
      <c r="B7" s="23" t="s">
        <v>22</v>
      </c>
      <c r="C7" s="23" t="s">
        <v>23</v>
      </c>
      <c r="D7" s="23" t="s">
        <v>24</v>
      </c>
      <c r="E7" s="24">
        <v>46175.0</v>
      </c>
      <c r="F7" s="24">
        <v>46175.0</v>
      </c>
      <c r="G7" s="25">
        <f t="shared" si="1"/>
        <v>1</v>
      </c>
      <c r="H7" s="26">
        <v>1.0</v>
      </c>
      <c r="I7" s="27"/>
      <c r="J7" s="28" t="s">
        <v>25</v>
      </c>
      <c r="K7" s="29"/>
      <c r="L7" s="29"/>
      <c r="M7" s="29"/>
      <c r="N7" s="29"/>
      <c r="O7" s="29"/>
      <c r="P7" s="29"/>
      <c r="Q7" s="29"/>
      <c r="R7" s="29"/>
      <c r="S7" s="29"/>
      <c r="T7" s="29"/>
    </row>
    <row r="8" ht="36.0" customHeight="1">
      <c r="A8" s="30" t="s">
        <v>26</v>
      </c>
      <c r="B8" s="31" t="s">
        <v>27</v>
      </c>
      <c r="C8" s="31" t="s">
        <v>28</v>
      </c>
      <c r="D8" s="31" t="s">
        <v>29</v>
      </c>
      <c r="E8" s="32">
        <v>46175.0</v>
      </c>
      <c r="F8" s="32">
        <v>46175.0</v>
      </c>
      <c r="G8" s="33">
        <f t="shared" si="1"/>
        <v>1</v>
      </c>
      <c r="H8" s="34">
        <v>1.0</v>
      </c>
      <c r="I8" s="27" t="s">
        <v>30</v>
      </c>
      <c r="J8" s="35"/>
      <c r="K8" s="36"/>
      <c r="L8" s="36"/>
      <c r="M8" s="36"/>
      <c r="N8" s="36"/>
      <c r="O8" s="36"/>
      <c r="P8" s="36"/>
      <c r="Q8" s="36"/>
      <c r="R8" s="36"/>
      <c r="S8" s="36"/>
      <c r="T8" s="36"/>
    </row>
    <row r="9" ht="36.0" customHeight="1">
      <c r="A9" s="37" t="s">
        <v>31</v>
      </c>
      <c r="B9" s="37" t="s">
        <v>32</v>
      </c>
      <c r="C9" s="37" t="s">
        <v>33</v>
      </c>
      <c r="D9" s="37" t="s">
        <v>34</v>
      </c>
      <c r="E9" s="38">
        <v>46175.0</v>
      </c>
      <c r="F9" s="38">
        <v>46176.0</v>
      </c>
      <c r="G9" s="39">
        <f t="shared" si="1"/>
        <v>2</v>
      </c>
      <c r="H9" s="37">
        <v>0.0</v>
      </c>
      <c r="I9" s="27"/>
      <c r="J9" s="40"/>
      <c r="K9" s="41"/>
      <c r="L9" s="41"/>
      <c r="M9" s="41"/>
      <c r="N9" s="41"/>
      <c r="O9" s="41"/>
      <c r="P9" s="41"/>
      <c r="Q9" s="41"/>
      <c r="R9" s="41"/>
      <c r="S9" s="41"/>
      <c r="T9" s="41"/>
    </row>
    <row r="10" ht="36.0" customHeight="1">
      <c r="A10" s="13" t="s">
        <v>35</v>
      </c>
      <c r="B10" s="14" t="s">
        <v>36</v>
      </c>
      <c r="C10" s="14" t="s">
        <v>37</v>
      </c>
      <c r="D10" s="14" t="s">
        <v>16</v>
      </c>
      <c r="E10" s="15">
        <v>46175.0</v>
      </c>
      <c r="F10" s="15">
        <v>46176.0</v>
      </c>
      <c r="G10" s="16">
        <f t="shared" si="1"/>
        <v>2</v>
      </c>
      <c r="H10" s="17">
        <v>0.3</v>
      </c>
      <c r="I10" s="42"/>
      <c r="J10" s="40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ht="36.0" customHeight="1">
      <c r="A11" s="22" t="s">
        <v>38</v>
      </c>
      <c r="B11" s="23" t="s">
        <v>39</v>
      </c>
      <c r="C11" s="23" t="s">
        <v>40</v>
      </c>
      <c r="D11" s="23" t="s">
        <v>24</v>
      </c>
      <c r="E11" s="24">
        <v>46176.0</v>
      </c>
      <c r="F11" s="24">
        <v>46177.0</v>
      </c>
      <c r="G11" s="25">
        <f t="shared" si="1"/>
        <v>2</v>
      </c>
      <c r="H11" s="26">
        <v>1.0</v>
      </c>
      <c r="I11" s="27"/>
      <c r="J11" s="43" t="s">
        <v>41</v>
      </c>
      <c r="K11" s="29"/>
      <c r="L11" s="29"/>
      <c r="M11" s="29"/>
      <c r="N11" s="29"/>
      <c r="O11" s="29"/>
      <c r="P11" s="29"/>
      <c r="Q11" s="29"/>
      <c r="R11" s="29"/>
      <c r="S11" s="29"/>
      <c r="T11" s="29"/>
    </row>
    <row r="12" ht="36.0" customHeight="1">
      <c r="A12" s="19" t="s">
        <v>42</v>
      </c>
      <c r="B12" s="14" t="s">
        <v>43</v>
      </c>
      <c r="C12" s="14" t="s">
        <v>44</v>
      </c>
      <c r="D12" s="14" t="s">
        <v>16</v>
      </c>
      <c r="E12" s="15">
        <v>46177.0</v>
      </c>
      <c r="F12" s="15">
        <v>46177.0</v>
      </c>
      <c r="G12" s="16">
        <f t="shared" si="1"/>
        <v>1</v>
      </c>
      <c r="H12" s="17">
        <v>1.0</v>
      </c>
      <c r="I12" s="42"/>
      <c r="J12" s="18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ht="24.0" customHeight="1">
      <c r="A13" s="44" t="s">
        <v>45</v>
      </c>
      <c r="B13" s="10" t="s">
        <v>46</v>
      </c>
      <c r="C13" s="10"/>
      <c r="D13" s="10"/>
      <c r="E13" s="11"/>
      <c r="F13" s="11"/>
      <c r="G13" s="12"/>
      <c r="H13" s="45"/>
      <c r="I13" s="45"/>
      <c r="J13" s="4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ht="36.0" customHeight="1">
      <c r="A14" s="22" t="s">
        <v>47</v>
      </c>
      <c r="B14" s="23" t="s">
        <v>48</v>
      </c>
      <c r="C14" s="23" t="s">
        <v>49</v>
      </c>
      <c r="D14" s="23" t="s">
        <v>24</v>
      </c>
      <c r="E14" s="24">
        <v>46177.0</v>
      </c>
      <c r="F14" s="24">
        <v>46177.0</v>
      </c>
      <c r="G14" s="25">
        <f t="shared" ref="G14:G23" si="2">F14-E14+1</f>
        <v>1</v>
      </c>
      <c r="H14" s="17">
        <v>1.0</v>
      </c>
      <c r="I14" s="46"/>
      <c r="J14" s="47" t="s">
        <v>50</v>
      </c>
      <c r="K14" s="29"/>
      <c r="L14" s="29"/>
      <c r="M14" s="29"/>
      <c r="N14" s="29"/>
      <c r="O14" s="29"/>
      <c r="P14" s="29"/>
      <c r="Q14" s="29"/>
      <c r="R14" s="29"/>
      <c r="S14" s="29"/>
      <c r="T14" s="29"/>
    </row>
    <row r="15" ht="36.0" customHeight="1">
      <c r="A15" s="22" t="s">
        <v>51</v>
      </c>
      <c r="B15" s="23" t="s">
        <v>52</v>
      </c>
      <c r="C15" s="23" t="s">
        <v>53</v>
      </c>
      <c r="D15" s="23" t="s">
        <v>24</v>
      </c>
      <c r="E15" s="24">
        <v>46177.0</v>
      </c>
      <c r="F15" s="24">
        <v>46178.0</v>
      </c>
      <c r="G15" s="25">
        <f t="shared" si="2"/>
        <v>2</v>
      </c>
      <c r="H15" s="17">
        <v>1.0</v>
      </c>
      <c r="I15" s="48"/>
      <c r="J15" s="49"/>
      <c r="K15" s="29"/>
      <c r="L15" s="29"/>
      <c r="M15" s="29"/>
      <c r="N15" s="29"/>
      <c r="O15" s="29"/>
      <c r="P15" s="29"/>
      <c r="Q15" s="29"/>
      <c r="R15" s="29"/>
      <c r="S15" s="29"/>
      <c r="T15" s="29"/>
    </row>
    <row r="16" ht="36.0" customHeight="1">
      <c r="A16" s="23" t="s">
        <v>54</v>
      </c>
      <c r="B16" s="23" t="s">
        <v>55</v>
      </c>
      <c r="C16" s="23" t="s">
        <v>56</v>
      </c>
      <c r="D16" s="23" t="s">
        <v>24</v>
      </c>
      <c r="E16" s="24">
        <v>46178.0</v>
      </c>
      <c r="F16" s="24">
        <v>46181.0</v>
      </c>
      <c r="G16" s="25">
        <f t="shared" si="2"/>
        <v>4</v>
      </c>
      <c r="H16" s="17">
        <v>1.0</v>
      </c>
      <c r="I16" s="23"/>
      <c r="J16" s="49"/>
      <c r="K16" s="29"/>
      <c r="L16" s="29"/>
      <c r="M16" s="29"/>
      <c r="N16" s="29"/>
      <c r="O16" s="29"/>
      <c r="P16" s="29"/>
      <c r="Q16" s="29"/>
      <c r="R16" s="29"/>
      <c r="S16" s="29"/>
      <c r="T16" s="29"/>
    </row>
    <row r="17" ht="36.0" customHeight="1">
      <c r="A17" s="50" t="s">
        <v>57</v>
      </c>
      <c r="B17" s="23" t="s">
        <v>58</v>
      </c>
      <c r="C17" s="23" t="s">
        <v>59</v>
      </c>
      <c r="D17" s="23" t="s">
        <v>24</v>
      </c>
      <c r="E17" s="24">
        <v>46181.0</v>
      </c>
      <c r="F17" s="24">
        <v>46181.0</v>
      </c>
      <c r="G17" s="25">
        <f t="shared" si="2"/>
        <v>1</v>
      </c>
      <c r="H17" s="17">
        <v>1.0</v>
      </c>
      <c r="I17" s="48"/>
      <c r="J17" s="49"/>
      <c r="K17" s="29"/>
      <c r="L17" s="29"/>
      <c r="M17" s="29"/>
      <c r="N17" s="29"/>
      <c r="O17" s="29"/>
      <c r="P17" s="29"/>
      <c r="Q17" s="29"/>
      <c r="R17" s="29"/>
      <c r="S17" s="29"/>
      <c r="T17" s="29"/>
    </row>
    <row r="18" ht="36.0" customHeight="1">
      <c r="A18" s="50" t="s">
        <v>60</v>
      </c>
      <c r="B18" s="23" t="s">
        <v>61</v>
      </c>
      <c r="C18" s="23" t="s">
        <v>62</v>
      </c>
      <c r="D18" s="23" t="s">
        <v>24</v>
      </c>
      <c r="E18" s="24">
        <v>46181.0</v>
      </c>
      <c r="F18" s="24">
        <v>46182.0</v>
      </c>
      <c r="G18" s="25">
        <f t="shared" si="2"/>
        <v>2</v>
      </c>
      <c r="H18" s="17">
        <v>1.0</v>
      </c>
      <c r="I18" s="48"/>
      <c r="J18" s="49"/>
      <c r="K18" s="29"/>
      <c r="L18" s="29"/>
      <c r="M18" s="29"/>
      <c r="N18" s="29"/>
      <c r="O18" s="29"/>
      <c r="P18" s="29"/>
      <c r="Q18" s="29"/>
      <c r="R18" s="29"/>
      <c r="S18" s="29"/>
      <c r="T18" s="29"/>
    </row>
    <row r="19" ht="36.0" customHeight="1">
      <c r="A19" s="51" t="s">
        <v>63</v>
      </c>
      <c r="B19" s="37" t="s">
        <v>64</v>
      </c>
      <c r="C19" s="37" t="s">
        <v>65</v>
      </c>
      <c r="D19" s="37" t="s">
        <v>34</v>
      </c>
      <c r="E19" s="38">
        <v>46181.0</v>
      </c>
      <c r="F19" s="38">
        <v>46181.0</v>
      </c>
      <c r="G19" s="39">
        <f t="shared" si="2"/>
        <v>1</v>
      </c>
      <c r="H19" s="17">
        <v>1.0</v>
      </c>
      <c r="I19" s="52"/>
      <c r="J19" s="53"/>
      <c r="K19" s="41"/>
      <c r="L19" s="41"/>
      <c r="M19" s="41"/>
      <c r="N19" s="41"/>
      <c r="O19" s="41"/>
      <c r="P19" s="41"/>
      <c r="Q19" s="41"/>
      <c r="R19" s="41"/>
      <c r="S19" s="41"/>
      <c r="T19" s="41"/>
    </row>
    <row r="20" ht="36.0" customHeight="1">
      <c r="A20" s="23" t="s">
        <v>66</v>
      </c>
      <c r="B20" s="23" t="s">
        <v>67</v>
      </c>
      <c r="C20" s="23" t="s">
        <v>68</v>
      </c>
      <c r="D20" s="23" t="s">
        <v>24</v>
      </c>
      <c r="E20" s="24">
        <v>46181.0</v>
      </c>
      <c r="F20" s="24">
        <v>46183.0</v>
      </c>
      <c r="G20" s="25">
        <f t="shared" si="2"/>
        <v>3</v>
      </c>
      <c r="H20" s="54">
        <v>1.0</v>
      </c>
      <c r="I20" s="23"/>
      <c r="J20" s="55" t="s">
        <v>69</v>
      </c>
      <c r="K20" s="29"/>
      <c r="L20" s="29"/>
      <c r="M20" s="29"/>
      <c r="N20" s="29"/>
      <c r="O20" s="29"/>
      <c r="P20" s="29"/>
      <c r="Q20" s="29"/>
      <c r="R20" s="29"/>
      <c r="S20" s="29"/>
      <c r="T20" s="29"/>
    </row>
    <row r="21" ht="36.0" customHeight="1">
      <c r="A21" s="51" t="s">
        <v>70</v>
      </c>
      <c r="B21" s="37" t="s">
        <v>71</v>
      </c>
      <c r="C21" s="37" t="s">
        <v>72</v>
      </c>
      <c r="D21" s="37" t="s">
        <v>34</v>
      </c>
      <c r="E21" s="38">
        <v>46181.0</v>
      </c>
      <c r="F21" s="38">
        <v>46183.0</v>
      </c>
      <c r="G21" s="39">
        <f t="shared" si="2"/>
        <v>3</v>
      </c>
      <c r="H21" s="54">
        <v>1.0</v>
      </c>
      <c r="I21" s="52"/>
      <c r="J21" s="53"/>
      <c r="K21" s="41"/>
      <c r="L21" s="41"/>
      <c r="M21" s="41"/>
      <c r="N21" s="41"/>
      <c r="O21" s="41"/>
      <c r="P21" s="41"/>
      <c r="Q21" s="41"/>
      <c r="R21" s="41"/>
      <c r="S21" s="41"/>
      <c r="T21" s="41"/>
    </row>
    <row r="22" ht="36.0" customHeight="1">
      <c r="A22" s="56" t="s">
        <v>73</v>
      </c>
      <c r="B22" s="57" t="s">
        <v>74</v>
      </c>
      <c r="C22" s="57" t="s">
        <v>75</v>
      </c>
      <c r="D22" s="31" t="s">
        <v>29</v>
      </c>
      <c r="E22" s="32">
        <v>46177.0</v>
      </c>
      <c r="F22" s="32">
        <v>46182.0</v>
      </c>
      <c r="G22" s="33">
        <f t="shared" si="2"/>
        <v>6</v>
      </c>
      <c r="H22" s="34">
        <v>1.0</v>
      </c>
      <c r="I22" s="58"/>
      <c r="J22" s="59"/>
      <c r="K22" s="36"/>
      <c r="L22" s="36"/>
      <c r="M22" s="36"/>
      <c r="N22" s="36"/>
      <c r="O22" s="36"/>
      <c r="P22" s="36"/>
      <c r="Q22" s="36"/>
      <c r="R22" s="36"/>
      <c r="S22" s="36"/>
      <c r="T22" s="36"/>
    </row>
    <row r="23" ht="36.0" customHeight="1">
      <c r="A23" s="23" t="s">
        <v>76</v>
      </c>
      <c r="B23" s="23" t="s">
        <v>77</v>
      </c>
      <c r="C23" s="23" t="s">
        <v>78</v>
      </c>
      <c r="D23" s="23" t="s">
        <v>24</v>
      </c>
      <c r="E23" s="24">
        <v>46183.0</v>
      </c>
      <c r="F23" s="24">
        <v>46183.0</v>
      </c>
      <c r="G23" s="25">
        <f t="shared" si="2"/>
        <v>1</v>
      </c>
      <c r="H23" s="23">
        <v>0.0</v>
      </c>
      <c r="I23" s="23"/>
      <c r="J23" s="49"/>
      <c r="K23" s="29"/>
      <c r="L23" s="29"/>
      <c r="M23" s="29"/>
      <c r="N23" s="29"/>
      <c r="O23" s="29"/>
      <c r="P23" s="29"/>
      <c r="Q23" s="29"/>
      <c r="R23" s="29"/>
      <c r="S23" s="29"/>
      <c r="T23" s="29"/>
    </row>
    <row r="24">
      <c r="A24" s="60" t="s">
        <v>79</v>
      </c>
      <c r="B24" s="10" t="s">
        <v>80</v>
      </c>
      <c r="C24" s="10"/>
      <c r="D24" s="10"/>
      <c r="E24" s="11"/>
      <c r="F24" s="11"/>
      <c r="G24" s="12"/>
      <c r="H24" s="45"/>
      <c r="I24" s="45"/>
      <c r="J24" s="18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ht="36.0" customHeight="1">
      <c r="A25" s="13" t="s">
        <v>81</v>
      </c>
      <c r="B25" s="14" t="s">
        <v>82</v>
      </c>
      <c r="C25" s="14" t="s">
        <v>83</v>
      </c>
      <c r="D25" s="14" t="s">
        <v>16</v>
      </c>
      <c r="E25" s="15">
        <v>46183.0</v>
      </c>
      <c r="F25" s="15">
        <v>46183.0</v>
      </c>
      <c r="G25" s="16">
        <f t="shared" ref="G25:G34" si="3">F25-E25+1</f>
        <v>1</v>
      </c>
      <c r="H25" s="17">
        <v>1.0</v>
      </c>
      <c r="I25" s="17"/>
      <c r="J25" s="18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ht="36.0" customHeight="1">
      <c r="A26" s="50" t="s">
        <v>84</v>
      </c>
      <c r="B26" s="23" t="s">
        <v>85</v>
      </c>
      <c r="C26" s="23" t="s">
        <v>86</v>
      </c>
      <c r="D26" s="23" t="s">
        <v>24</v>
      </c>
      <c r="E26" s="24">
        <v>46183.0</v>
      </c>
      <c r="F26" s="24">
        <v>46183.0</v>
      </c>
      <c r="G26" s="25">
        <f t="shared" si="3"/>
        <v>1</v>
      </c>
      <c r="H26" s="48">
        <v>0.0</v>
      </c>
      <c r="I26" s="48"/>
      <c r="J26" s="4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ht="36.0" customHeight="1">
      <c r="A27" s="23" t="s">
        <v>87</v>
      </c>
      <c r="B27" s="23" t="s">
        <v>88</v>
      </c>
      <c r="C27" s="23" t="s">
        <v>89</v>
      </c>
      <c r="D27" s="23" t="s">
        <v>24</v>
      </c>
      <c r="E27" s="24">
        <v>46183.0</v>
      </c>
      <c r="F27" s="24">
        <v>46184.0</v>
      </c>
      <c r="G27" s="25">
        <f t="shared" si="3"/>
        <v>2</v>
      </c>
      <c r="H27" s="23">
        <v>0.0</v>
      </c>
      <c r="I27" s="23"/>
      <c r="J27" s="4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ht="36.0" customHeight="1">
      <c r="A28" s="50" t="s">
        <v>90</v>
      </c>
      <c r="B28" s="23" t="s">
        <v>91</v>
      </c>
      <c r="C28" s="23" t="s">
        <v>92</v>
      </c>
      <c r="D28" s="23" t="s">
        <v>24</v>
      </c>
      <c r="E28" s="24">
        <v>46184.0</v>
      </c>
      <c r="F28" s="24">
        <v>46184.0</v>
      </c>
      <c r="G28" s="25">
        <f t="shared" si="3"/>
        <v>1</v>
      </c>
      <c r="H28" s="48">
        <v>0.0</v>
      </c>
      <c r="I28" s="48"/>
      <c r="J28" s="49"/>
      <c r="K28" s="29"/>
      <c r="L28" s="29"/>
      <c r="M28" s="29"/>
      <c r="N28" s="29"/>
      <c r="O28" s="29"/>
      <c r="P28" s="29"/>
      <c r="Q28" s="29"/>
      <c r="R28" s="29"/>
      <c r="S28" s="29"/>
      <c r="T28" s="29"/>
    </row>
    <row r="29" ht="36.0" customHeight="1">
      <c r="A29" s="56" t="s">
        <v>93</v>
      </c>
      <c r="B29" s="31" t="s">
        <v>94</v>
      </c>
      <c r="C29" s="31" t="s">
        <v>95</v>
      </c>
      <c r="D29" s="31" t="s">
        <v>29</v>
      </c>
      <c r="E29" s="32">
        <v>46183.0</v>
      </c>
      <c r="F29" s="32">
        <v>46183.0</v>
      </c>
      <c r="G29" s="33">
        <f t="shared" si="3"/>
        <v>1</v>
      </c>
      <c r="H29" s="34">
        <v>1.0</v>
      </c>
      <c r="I29" s="58"/>
      <c r="J29" s="59"/>
      <c r="K29" s="36"/>
      <c r="L29" s="36"/>
      <c r="M29" s="36"/>
      <c r="N29" s="36"/>
      <c r="O29" s="36"/>
      <c r="P29" s="36"/>
      <c r="Q29" s="36"/>
      <c r="R29" s="36"/>
      <c r="S29" s="36"/>
      <c r="T29" s="36"/>
    </row>
    <row r="30" ht="36.0" customHeight="1">
      <c r="A30" s="56" t="s">
        <v>96</v>
      </c>
      <c r="B30" s="31" t="s">
        <v>97</v>
      </c>
      <c r="C30" s="31" t="s">
        <v>98</v>
      </c>
      <c r="D30" s="31" t="s">
        <v>29</v>
      </c>
      <c r="E30" s="32">
        <v>46183.0</v>
      </c>
      <c r="F30" s="32">
        <v>46185.0</v>
      </c>
      <c r="G30" s="33">
        <f t="shared" si="3"/>
        <v>3</v>
      </c>
      <c r="H30" s="57">
        <v>100.0</v>
      </c>
      <c r="I30" s="31"/>
      <c r="J30" s="59"/>
      <c r="K30" s="36"/>
      <c r="L30" s="36"/>
      <c r="M30" s="36"/>
      <c r="N30" s="36"/>
      <c r="O30" s="36"/>
      <c r="P30" s="36"/>
      <c r="Q30" s="36"/>
      <c r="R30" s="36"/>
      <c r="S30" s="36"/>
      <c r="T30" s="36"/>
    </row>
    <row r="31" ht="36.0" customHeight="1">
      <c r="A31" s="37" t="s">
        <v>99</v>
      </c>
      <c r="B31" s="37" t="s">
        <v>100</v>
      </c>
      <c r="C31" s="37" t="s">
        <v>101</v>
      </c>
      <c r="D31" s="37" t="s">
        <v>34</v>
      </c>
      <c r="E31" s="38">
        <v>46183.0</v>
      </c>
      <c r="F31" s="38">
        <v>46183.0</v>
      </c>
      <c r="G31" s="39">
        <f t="shared" si="3"/>
        <v>1</v>
      </c>
      <c r="H31" s="37">
        <v>0.0</v>
      </c>
      <c r="I31" s="37"/>
      <c r="J31" s="53"/>
      <c r="K31" s="41"/>
      <c r="L31" s="41"/>
      <c r="M31" s="41"/>
      <c r="N31" s="41"/>
      <c r="O31" s="41"/>
      <c r="P31" s="41"/>
      <c r="Q31" s="41"/>
      <c r="R31" s="41"/>
      <c r="S31" s="41"/>
      <c r="T31" s="41"/>
    </row>
    <row r="32" ht="36.0" customHeight="1">
      <c r="A32" s="51" t="s">
        <v>102</v>
      </c>
      <c r="B32" s="37" t="s">
        <v>103</v>
      </c>
      <c r="C32" s="37" t="s">
        <v>104</v>
      </c>
      <c r="D32" s="37" t="s">
        <v>34</v>
      </c>
      <c r="E32" s="38">
        <v>46183.0</v>
      </c>
      <c r="F32" s="38">
        <v>46185.0</v>
      </c>
      <c r="G32" s="39">
        <f t="shared" si="3"/>
        <v>3</v>
      </c>
      <c r="H32" s="52">
        <v>0.0</v>
      </c>
      <c r="I32" s="52"/>
      <c r="J32" s="53"/>
      <c r="K32" s="41"/>
      <c r="L32" s="41"/>
      <c r="M32" s="41"/>
      <c r="N32" s="41"/>
      <c r="O32" s="41"/>
      <c r="P32" s="41"/>
      <c r="Q32" s="41"/>
      <c r="R32" s="41"/>
      <c r="S32" s="41"/>
      <c r="T32" s="41"/>
    </row>
    <row r="33" ht="36.0" customHeight="1">
      <c r="A33" s="50" t="s">
        <v>105</v>
      </c>
      <c r="B33" s="23" t="s">
        <v>106</v>
      </c>
      <c r="C33" s="23" t="s">
        <v>107</v>
      </c>
      <c r="D33" s="23" t="s">
        <v>24</v>
      </c>
      <c r="E33" s="24">
        <v>46185.0</v>
      </c>
      <c r="F33" s="24">
        <v>46185.0</v>
      </c>
      <c r="G33" s="25">
        <f t="shared" si="3"/>
        <v>1</v>
      </c>
      <c r="H33" s="48">
        <v>0.0</v>
      </c>
      <c r="I33" s="48"/>
      <c r="J33" s="49"/>
      <c r="K33" s="29"/>
      <c r="L33" s="29"/>
      <c r="M33" s="29"/>
      <c r="N33" s="29"/>
      <c r="O33" s="29"/>
      <c r="P33" s="29"/>
      <c r="Q33" s="29"/>
      <c r="R33" s="29"/>
      <c r="S33" s="29"/>
      <c r="T33" s="29"/>
    </row>
    <row r="34" ht="36.0" customHeight="1">
      <c r="A34" s="13" t="s">
        <v>108</v>
      </c>
      <c r="B34" s="14" t="s">
        <v>109</v>
      </c>
      <c r="C34" s="14" t="s">
        <v>110</v>
      </c>
      <c r="D34" s="14" t="s">
        <v>16</v>
      </c>
      <c r="E34" s="15">
        <v>46185.0</v>
      </c>
      <c r="F34" s="15">
        <v>46185.0</v>
      </c>
      <c r="G34" s="16">
        <f t="shared" si="3"/>
        <v>1</v>
      </c>
      <c r="H34" s="14">
        <v>0.0</v>
      </c>
      <c r="I34" s="14"/>
      <c r="J34" s="18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>
      <c r="A35" s="10" t="s">
        <v>111</v>
      </c>
      <c r="B35" s="10" t="s">
        <v>112</v>
      </c>
      <c r="C35" s="10"/>
      <c r="D35" s="10"/>
      <c r="E35" s="11"/>
      <c r="F35" s="11"/>
      <c r="G35" s="12"/>
      <c r="H35" s="10"/>
      <c r="I35" s="10"/>
      <c r="J35" s="18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ht="36.0" customHeight="1">
      <c r="A36" s="50" t="s">
        <v>113</v>
      </c>
      <c r="B36" s="23" t="s">
        <v>114</v>
      </c>
      <c r="C36" s="23" t="s">
        <v>115</v>
      </c>
      <c r="D36" s="23" t="s">
        <v>24</v>
      </c>
      <c r="E36" s="24">
        <v>46188.0</v>
      </c>
      <c r="F36" s="24">
        <v>46189.0</v>
      </c>
      <c r="G36" s="25">
        <f t="shared" ref="G36:G45" si="4">F36-E36+1</f>
        <v>2</v>
      </c>
      <c r="H36" s="48">
        <v>0.0</v>
      </c>
      <c r="I36" s="48"/>
      <c r="J36" s="49"/>
      <c r="K36" s="29"/>
      <c r="L36" s="29"/>
      <c r="M36" s="29"/>
      <c r="N36" s="29"/>
      <c r="O36" s="29"/>
      <c r="P36" s="29"/>
      <c r="Q36" s="29"/>
      <c r="R36" s="29"/>
      <c r="S36" s="29"/>
      <c r="T36" s="29"/>
    </row>
    <row r="37" ht="36.0" customHeight="1">
      <c r="A37" s="50" t="s">
        <v>116</v>
      </c>
      <c r="B37" s="23" t="s">
        <v>117</v>
      </c>
      <c r="C37" s="23" t="s">
        <v>118</v>
      </c>
      <c r="D37" s="23" t="s">
        <v>24</v>
      </c>
      <c r="E37" s="24">
        <v>46189.0</v>
      </c>
      <c r="F37" s="24">
        <v>46189.0</v>
      </c>
      <c r="G37" s="25">
        <f t="shared" si="4"/>
        <v>1</v>
      </c>
      <c r="H37" s="48">
        <v>0.0</v>
      </c>
      <c r="I37" s="48"/>
      <c r="J37" s="49"/>
      <c r="K37" s="29"/>
      <c r="L37" s="29"/>
      <c r="M37" s="29"/>
      <c r="N37" s="29"/>
      <c r="O37" s="29"/>
      <c r="P37" s="29"/>
      <c r="Q37" s="29"/>
      <c r="R37" s="29"/>
      <c r="S37" s="29"/>
      <c r="T37" s="29"/>
    </row>
    <row r="38" ht="36.0" customHeight="1">
      <c r="A38" s="50" t="s">
        <v>119</v>
      </c>
      <c r="B38" s="23" t="s">
        <v>120</v>
      </c>
      <c r="C38" s="23" t="s">
        <v>121</v>
      </c>
      <c r="D38" s="23" t="s">
        <v>24</v>
      </c>
      <c r="E38" s="24">
        <v>46189.0</v>
      </c>
      <c r="F38" s="24">
        <v>46190.0</v>
      </c>
      <c r="G38" s="25">
        <f t="shared" si="4"/>
        <v>2</v>
      </c>
      <c r="H38" s="48">
        <v>0.0</v>
      </c>
      <c r="I38" s="48"/>
      <c r="J38" s="49"/>
      <c r="K38" s="29"/>
      <c r="L38" s="29"/>
      <c r="M38" s="29"/>
      <c r="N38" s="29"/>
      <c r="O38" s="29"/>
      <c r="P38" s="29"/>
      <c r="Q38" s="29"/>
      <c r="R38" s="29"/>
      <c r="S38" s="29"/>
      <c r="T38" s="29"/>
    </row>
    <row r="39" ht="36.0" customHeight="1">
      <c r="A39" s="23" t="s">
        <v>122</v>
      </c>
      <c r="B39" s="23" t="s">
        <v>123</v>
      </c>
      <c r="C39" s="23" t="s">
        <v>124</v>
      </c>
      <c r="D39" s="23" t="s">
        <v>24</v>
      </c>
      <c r="E39" s="24">
        <v>46190.0</v>
      </c>
      <c r="F39" s="24">
        <v>46191.0</v>
      </c>
      <c r="G39" s="25">
        <f t="shared" si="4"/>
        <v>2</v>
      </c>
      <c r="H39" s="23">
        <v>0.0</v>
      </c>
      <c r="I39" s="23"/>
      <c r="J39" s="49"/>
      <c r="K39" s="29"/>
      <c r="L39" s="29"/>
      <c r="M39" s="29"/>
      <c r="N39" s="29"/>
      <c r="O39" s="29"/>
      <c r="P39" s="29"/>
      <c r="Q39" s="29"/>
      <c r="R39" s="29"/>
      <c r="S39" s="29"/>
      <c r="T39" s="29"/>
    </row>
    <row r="40" ht="36.0" customHeight="1">
      <c r="A40" s="50" t="s">
        <v>125</v>
      </c>
      <c r="B40" s="23" t="s">
        <v>126</v>
      </c>
      <c r="C40" s="23" t="s">
        <v>127</v>
      </c>
      <c r="D40" s="23" t="s">
        <v>24</v>
      </c>
      <c r="E40" s="24">
        <v>46191.0</v>
      </c>
      <c r="F40" s="24">
        <v>46191.0</v>
      </c>
      <c r="G40" s="25">
        <f t="shared" si="4"/>
        <v>1</v>
      </c>
      <c r="H40" s="48">
        <v>0.0</v>
      </c>
      <c r="I40" s="48"/>
      <c r="J40" s="49"/>
      <c r="K40" s="29"/>
      <c r="L40" s="29"/>
      <c r="M40" s="29"/>
      <c r="N40" s="29"/>
      <c r="O40" s="29"/>
      <c r="P40" s="29"/>
      <c r="Q40" s="29"/>
      <c r="R40" s="29"/>
      <c r="S40" s="29"/>
      <c r="T40" s="29"/>
    </row>
    <row r="41" ht="36.0" customHeight="1">
      <c r="A41" s="56" t="s">
        <v>128</v>
      </c>
      <c r="B41" s="31" t="s">
        <v>129</v>
      </c>
      <c r="C41" s="31" t="s">
        <v>130</v>
      </c>
      <c r="D41" s="31" t="s">
        <v>29</v>
      </c>
      <c r="E41" s="32">
        <v>46188.0</v>
      </c>
      <c r="F41" s="32">
        <v>46189.0</v>
      </c>
      <c r="G41" s="33">
        <f t="shared" si="4"/>
        <v>2</v>
      </c>
      <c r="H41" s="34">
        <v>1.0</v>
      </c>
      <c r="I41" s="58"/>
      <c r="J41" s="59"/>
      <c r="K41" s="36"/>
      <c r="L41" s="36"/>
      <c r="M41" s="36"/>
      <c r="N41" s="36"/>
      <c r="O41" s="36"/>
      <c r="P41" s="36"/>
      <c r="Q41" s="36"/>
      <c r="R41" s="36"/>
      <c r="S41" s="36"/>
      <c r="T41" s="36"/>
    </row>
    <row r="42" ht="36.0" customHeight="1">
      <c r="A42" s="56" t="s">
        <v>131</v>
      </c>
      <c r="B42" s="31" t="s">
        <v>132</v>
      </c>
      <c r="C42" s="31" t="s">
        <v>133</v>
      </c>
      <c r="D42" s="31" t="s">
        <v>29</v>
      </c>
      <c r="E42" s="32">
        <v>46189.0</v>
      </c>
      <c r="F42" s="32">
        <v>46189.0</v>
      </c>
      <c r="G42" s="33">
        <f t="shared" si="4"/>
        <v>1</v>
      </c>
      <c r="H42" s="58">
        <v>0.0</v>
      </c>
      <c r="I42" s="57" t="s">
        <v>134</v>
      </c>
      <c r="J42" s="59"/>
      <c r="K42" s="36"/>
      <c r="L42" s="36"/>
      <c r="M42" s="36"/>
      <c r="N42" s="36"/>
      <c r="O42" s="36"/>
      <c r="P42" s="36"/>
      <c r="Q42" s="36"/>
      <c r="R42" s="36"/>
      <c r="S42" s="36"/>
      <c r="T42" s="36"/>
    </row>
    <row r="43" ht="36.0" customHeight="1">
      <c r="A43" s="56" t="s">
        <v>135</v>
      </c>
      <c r="B43" s="31" t="s">
        <v>136</v>
      </c>
      <c r="C43" s="31" t="s">
        <v>137</v>
      </c>
      <c r="D43" s="31" t="s">
        <v>29</v>
      </c>
      <c r="E43" s="32">
        <v>46189.0</v>
      </c>
      <c r="F43" s="32">
        <v>46190.0</v>
      </c>
      <c r="G43" s="33">
        <f t="shared" si="4"/>
        <v>2</v>
      </c>
      <c r="H43" s="34">
        <v>1.0</v>
      </c>
      <c r="I43" s="58"/>
      <c r="J43" s="59"/>
      <c r="K43" s="36"/>
      <c r="L43" s="36"/>
      <c r="M43" s="36"/>
      <c r="N43" s="36"/>
      <c r="O43" s="36"/>
      <c r="P43" s="36"/>
      <c r="Q43" s="36"/>
      <c r="R43" s="36"/>
      <c r="S43" s="36"/>
      <c r="T43" s="36"/>
    </row>
    <row r="44" ht="36.0" customHeight="1">
      <c r="A44" s="31" t="s">
        <v>138</v>
      </c>
      <c r="B44" s="31" t="s">
        <v>139</v>
      </c>
      <c r="C44" s="31" t="s">
        <v>140</v>
      </c>
      <c r="D44" s="31" t="s">
        <v>29</v>
      </c>
      <c r="E44" s="32">
        <v>46190.0</v>
      </c>
      <c r="F44" s="32">
        <v>46191.0</v>
      </c>
      <c r="G44" s="33">
        <f t="shared" si="4"/>
        <v>2</v>
      </c>
      <c r="H44" s="57">
        <v>100.0</v>
      </c>
      <c r="I44" s="31"/>
      <c r="J44" s="59"/>
      <c r="K44" s="36"/>
      <c r="L44" s="36"/>
      <c r="M44" s="36"/>
      <c r="N44" s="36"/>
      <c r="O44" s="36"/>
      <c r="P44" s="36"/>
      <c r="Q44" s="36"/>
      <c r="R44" s="36"/>
      <c r="S44" s="36"/>
      <c r="T44" s="36"/>
    </row>
    <row r="45" ht="36.0" customHeight="1">
      <c r="A45" s="13" t="s">
        <v>141</v>
      </c>
      <c r="B45" s="14" t="s">
        <v>142</v>
      </c>
      <c r="C45" s="14" t="s">
        <v>143</v>
      </c>
      <c r="D45" s="14" t="s">
        <v>16</v>
      </c>
      <c r="E45" s="15">
        <v>46191.0</v>
      </c>
      <c r="F45" s="15">
        <v>46191.0</v>
      </c>
      <c r="G45" s="16">
        <f t="shared" si="4"/>
        <v>1</v>
      </c>
      <c r="H45" s="42">
        <v>0.0</v>
      </c>
      <c r="I45" s="42"/>
      <c r="J45" s="18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 ht="24.0" customHeight="1">
      <c r="A46" s="60" t="s">
        <v>144</v>
      </c>
      <c r="B46" s="10" t="s">
        <v>145</v>
      </c>
      <c r="C46" s="10"/>
      <c r="D46" s="10"/>
      <c r="E46" s="11"/>
      <c r="F46" s="11"/>
      <c r="G46" s="12"/>
      <c r="H46" s="45"/>
      <c r="I46" s="45"/>
      <c r="J46" s="18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 ht="36.0" customHeight="1">
      <c r="A47" s="50" t="s">
        <v>146</v>
      </c>
      <c r="B47" s="23" t="s">
        <v>147</v>
      </c>
      <c r="C47" s="23" t="s">
        <v>148</v>
      </c>
      <c r="D47" s="23" t="s">
        <v>24</v>
      </c>
      <c r="E47" s="24">
        <v>46191.0</v>
      </c>
      <c r="F47" s="24">
        <v>46191.0</v>
      </c>
      <c r="G47" s="25">
        <f t="shared" ref="G47:G58" si="5">F47-E47+1</f>
        <v>1</v>
      </c>
      <c r="H47" s="48">
        <v>0.0</v>
      </c>
      <c r="I47" s="48"/>
      <c r="J47" s="49"/>
      <c r="K47" s="29"/>
      <c r="L47" s="29"/>
      <c r="M47" s="29"/>
      <c r="N47" s="29"/>
      <c r="O47" s="29"/>
      <c r="P47" s="29"/>
      <c r="Q47" s="29"/>
      <c r="R47" s="29"/>
      <c r="S47" s="29"/>
      <c r="T47" s="29"/>
    </row>
    <row r="48" ht="36.0" customHeight="1">
      <c r="A48" s="50" t="s">
        <v>149</v>
      </c>
      <c r="B48" s="23" t="s">
        <v>150</v>
      </c>
      <c r="C48" s="23" t="s">
        <v>151</v>
      </c>
      <c r="D48" s="23" t="s">
        <v>24</v>
      </c>
      <c r="E48" s="24">
        <v>46191.0</v>
      </c>
      <c r="F48" s="24">
        <v>46195.0</v>
      </c>
      <c r="G48" s="25">
        <f t="shared" si="5"/>
        <v>5</v>
      </c>
      <c r="H48" s="48">
        <v>0.0</v>
      </c>
      <c r="I48" s="48"/>
      <c r="J48" s="49"/>
      <c r="K48" s="29"/>
      <c r="L48" s="29"/>
      <c r="M48" s="29"/>
      <c r="N48" s="29"/>
      <c r="O48" s="29"/>
      <c r="P48" s="29"/>
      <c r="Q48" s="29"/>
      <c r="R48" s="29"/>
      <c r="S48" s="29"/>
      <c r="T48" s="29"/>
    </row>
    <row r="49" ht="36.0" customHeight="1">
      <c r="A49" s="50" t="s">
        <v>152</v>
      </c>
      <c r="B49" s="23" t="s">
        <v>153</v>
      </c>
      <c r="C49" s="23" t="s">
        <v>154</v>
      </c>
      <c r="D49" s="23" t="s">
        <v>24</v>
      </c>
      <c r="E49" s="24">
        <v>46192.0</v>
      </c>
      <c r="F49" s="24">
        <v>46195.0</v>
      </c>
      <c r="G49" s="25">
        <f t="shared" si="5"/>
        <v>4</v>
      </c>
      <c r="H49" s="23">
        <v>0.0</v>
      </c>
      <c r="I49" s="23"/>
      <c r="J49" s="49"/>
      <c r="K49" s="29"/>
      <c r="L49" s="29"/>
      <c r="M49" s="29"/>
      <c r="N49" s="29"/>
      <c r="O49" s="29"/>
      <c r="P49" s="29"/>
      <c r="Q49" s="29"/>
      <c r="R49" s="29"/>
      <c r="S49" s="29"/>
      <c r="T49" s="29"/>
    </row>
    <row r="50" ht="36.0" customHeight="1">
      <c r="A50" s="23" t="s">
        <v>155</v>
      </c>
      <c r="B50" s="23" t="s">
        <v>156</v>
      </c>
      <c r="C50" s="23" t="s">
        <v>157</v>
      </c>
      <c r="D50" s="23" t="s">
        <v>24</v>
      </c>
      <c r="E50" s="24">
        <v>46195.0</v>
      </c>
      <c r="F50" s="24">
        <v>46195.0</v>
      </c>
      <c r="G50" s="25">
        <f t="shared" si="5"/>
        <v>1</v>
      </c>
      <c r="H50" s="23">
        <v>0.0</v>
      </c>
      <c r="I50" s="23"/>
      <c r="J50" s="49"/>
      <c r="K50" s="29"/>
      <c r="L50" s="29"/>
      <c r="M50" s="29"/>
      <c r="N50" s="29"/>
      <c r="O50" s="29"/>
      <c r="P50" s="29"/>
      <c r="Q50" s="29"/>
      <c r="R50" s="29"/>
      <c r="S50" s="29"/>
      <c r="T50" s="29"/>
    </row>
    <row r="51" ht="36.0" customHeight="1">
      <c r="A51" s="23" t="s">
        <v>158</v>
      </c>
      <c r="B51" s="23" t="s">
        <v>159</v>
      </c>
      <c r="C51" s="23" t="s">
        <v>160</v>
      </c>
      <c r="D51" s="23" t="s">
        <v>24</v>
      </c>
      <c r="E51" s="24">
        <v>46195.0</v>
      </c>
      <c r="F51" s="24">
        <v>46195.0</v>
      </c>
      <c r="G51" s="25">
        <f t="shared" si="5"/>
        <v>1</v>
      </c>
      <c r="H51" s="23">
        <v>0.0</v>
      </c>
      <c r="I51" s="23"/>
      <c r="J51" s="49"/>
      <c r="K51" s="29"/>
      <c r="L51" s="29"/>
      <c r="M51" s="29"/>
      <c r="N51" s="29"/>
      <c r="O51" s="29"/>
      <c r="P51" s="29"/>
      <c r="Q51" s="29"/>
      <c r="R51" s="29"/>
      <c r="S51" s="29"/>
      <c r="T51" s="29"/>
    </row>
    <row r="52" ht="36.0" customHeight="1">
      <c r="A52" s="23" t="s">
        <v>161</v>
      </c>
      <c r="B52" s="23" t="s">
        <v>162</v>
      </c>
      <c r="C52" s="23" t="s">
        <v>163</v>
      </c>
      <c r="D52" s="23" t="s">
        <v>24</v>
      </c>
      <c r="E52" s="24">
        <v>46195.0</v>
      </c>
      <c r="F52" s="24">
        <v>46197.0</v>
      </c>
      <c r="G52" s="25">
        <f t="shared" si="5"/>
        <v>3</v>
      </c>
      <c r="H52" s="23">
        <v>0.0</v>
      </c>
      <c r="I52" s="23"/>
      <c r="J52" s="49"/>
      <c r="K52" s="29"/>
      <c r="L52" s="29"/>
      <c r="M52" s="29"/>
      <c r="N52" s="29"/>
      <c r="O52" s="29"/>
      <c r="P52" s="29"/>
      <c r="Q52" s="29"/>
      <c r="R52" s="29"/>
      <c r="S52" s="29"/>
      <c r="T52" s="29"/>
    </row>
    <row r="53" ht="36.0" customHeight="1">
      <c r="A53" s="23" t="s">
        <v>164</v>
      </c>
      <c r="B53" s="23" t="s">
        <v>165</v>
      </c>
      <c r="C53" s="23" t="s">
        <v>166</v>
      </c>
      <c r="D53" s="23" t="s">
        <v>24</v>
      </c>
      <c r="E53" s="24">
        <v>46196.0</v>
      </c>
      <c r="F53" s="24">
        <v>46197.0</v>
      </c>
      <c r="G53" s="25">
        <f t="shared" si="5"/>
        <v>2</v>
      </c>
      <c r="H53" s="23">
        <v>0.0</v>
      </c>
      <c r="I53" s="23"/>
      <c r="J53" s="49"/>
      <c r="K53" s="29"/>
      <c r="L53" s="29"/>
      <c r="M53" s="29"/>
      <c r="N53" s="29"/>
      <c r="O53" s="29"/>
      <c r="P53" s="29"/>
      <c r="Q53" s="29"/>
      <c r="R53" s="29"/>
      <c r="S53" s="29"/>
      <c r="T53" s="29"/>
    </row>
    <row r="54" ht="36.0" customHeight="1">
      <c r="A54" s="31" t="s">
        <v>167</v>
      </c>
      <c r="B54" s="31" t="s">
        <v>168</v>
      </c>
      <c r="C54" s="31" t="s">
        <v>169</v>
      </c>
      <c r="D54" s="31" t="s">
        <v>29</v>
      </c>
      <c r="E54" s="32">
        <v>46191.0</v>
      </c>
      <c r="F54" s="32">
        <v>46195.0</v>
      </c>
      <c r="G54" s="33">
        <f t="shared" si="5"/>
        <v>5</v>
      </c>
      <c r="H54" s="57">
        <v>100.0</v>
      </c>
      <c r="I54" s="31"/>
      <c r="J54" s="59"/>
      <c r="K54" s="36"/>
      <c r="L54" s="36"/>
      <c r="M54" s="36"/>
      <c r="N54" s="36"/>
      <c r="O54" s="36"/>
      <c r="P54" s="36"/>
      <c r="Q54" s="36"/>
      <c r="R54" s="36"/>
      <c r="S54" s="36"/>
      <c r="T54" s="36"/>
    </row>
    <row r="55" ht="36.0" customHeight="1">
      <c r="A55" s="31" t="s">
        <v>170</v>
      </c>
      <c r="B55" s="31" t="s">
        <v>171</v>
      </c>
      <c r="C55" s="31" t="s">
        <v>172</v>
      </c>
      <c r="D55" s="31" t="s">
        <v>29</v>
      </c>
      <c r="E55" s="32">
        <v>46195.0</v>
      </c>
      <c r="F55" s="32">
        <v>46195.0</v>
      </c>
      <c r="G55" s="33">
        <f t="shared" si="5"/>
        <v>1</v>
      </c>
      <c r="H55" s="57">
        <v>100.0</v>
      </c>
      <c r="I55" s="31"/>
      <c r="J55" s="59"/>
      <c r="K55" s="36"/>
      <c r="L55" s="36"/>
      <c r="M55" s="36"/>
      <c r="N55" s="36"/>
      <c r="O55" s="36"/>
      <c r="P55" s="36"/>
      <c r="Q55" s="36"/>
      <c r="R55" s="36"/>
      <c r="S55" s="36"/>
      <c r="T55" s="36"/>
    </row>
    <row r="56" ht="36.0" customHeight="1">
      <c r="A56" s="31" t="s">
        <v>173</v>
      </c>
      <c r="B56" s="31" t="s">
        <v>174</v>
      </c>
      <c r="C56" s="31" t="s">
        <v>175</v>
      </c>
      <c r="D56" s="31" t="s">
        <v>29</v>
      </c>
      <c r="E56" s="32">
        <v>46195.0</v>
      </c>
      <c r="F56" s="32">
        <v>46197.0</v>
      </c>
      <c r="G56" s="33">
        <f t="shared" si="5"/>
        <v>3</v>
      </c>
      <c r="H56" s="57">
        <v>100.0</v>
      </c>
      <c r="I56" s="31"/>
      <c r="J56" s="59"/>
      <c r="K56" s="36"/>
      <c r="L56" s="36"/>
      <c r="M56" s="36"/>
      <c r="N56" s="36"/>
      <c r="O56" s="36"/>
      <c r="P56" s="36"/>
      <c r="Q56" s="36"/>
      <c r="R56" s="36"/>
      <c r="S56" s="36"/>
      <c r="T56" s="36"/>
    </row>
    <row r="57" ht="36.0" customHeight="1">
      <c r="A57" s="31" t="s">
        <v>176</v>
      </c>
      <c r="B57" s="31" t="s">
        <v>177</v>
      </c>
      <c r="C57" s="31" t="s">
        <v>178</v>
      </c>
      <c r="D57" s="31" t="s">
        <v>29</v>
      </c>
      <c r="E57" s="32">
        <v>46196.0</v>
      </c>
      <c r="F57" s="32">
        <v>46197.0</v>
      </c>
      <c r="G57" s="33">
        <f t="shared" si="5"/>
        <v>2</v>
      </c>
      <c r="H57" s="57">
        <v>100.0</v>
      </c>
      <c r="I57" s="31"/>
      <c r="J57" s="59"/>
      <c r="K57" s="36"/>
      <c r="L57" s="36"/>
      <c r="M57" s="36"/>
      <c r="N57" s="36"/>
      <c r="O57" s="36"/>
      <c r="P57" s="36"/>
      <c r="Q57" s="36"/>
      <c r="R57" s="36"/>
      <c r="S57" s="36"/>
      <c r="T57" s="36"/>
    </row>
    <row r="58" ht="36.0" customHeight="1">
      <c r="A58" s="14" t="s">
        <v>179</v>
      </c>
      <c r="B58" s="14" t="s">
        <v>180</v>
      </c>
      <c r="C58" s="14" t="s">
        <v>181</v>
      </c>
      <c r="D58" s="14" t="s">
        <v>16</v>
      </c>
      <c r="E58" s="15">
        <v>46197.0</v>
      </c>
      <c r="F58" s="15">
        <v>46197.0</v>
      </c>
      <c r="G58" s="16">
        <f t="shared" si="5"/>
        <v>1</v>
      </c>
      <c r="H58" s="14">
        <v>0.0</v>
      </c>
      <c r="I58" s="14"/>
      <c r="J58" s="18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 ht="24.0" customHeight="1">
      <c r="A59" s="10" t="s">
        <v>182</v>
      </c>
      <c r="B59" s="10" t="s">
        <v>183</v>
      </c>
      <c r="C59" s="10"/>
      <c r="D59" s="10"/>
      <c r="E59" s="11"/>
      <c r="F59" s="11"/>
      <c r="G59" s="12"/>
      <c r="H59" s="10"/>
      <c r="I59" s="10"/>
      <c r="J59" s="18"/>
      <c r="K59" s="5"/>
      <c r="L59" s="5"/>
      <c r="M59" s="5"/>
      <c r="N59" s="5"/>
      <c r="O59" s="5"/>
      <c r="P59" s="5"/>
      <c r="Q59" s="5"/>
      <c r="R59" s="5"/>
      <c r="S59" s="5"/>
      <c r="T59" s="5"/>
    </row>
    <row r="60" ht="36.0" customHeight="1">
      <c r="A60" s="23" t="s">
        <v>184</v>
      </c>
      <c r="B60" s="23" t="s">
        <v>185</v>
      </c>
      <c r="C60" s="23" t="s">
        <v>186</v>
      </c>
      <c r="D60" s="23" t="s">
        <v>24</v>
      </c>
      <c r="E60" s="24">
        <v>46197.0</v>
      </c>
      <c r="F60" s="24">
        <v>46197.0</v>
      </c>
      <c r="G60" s="25">
        <f t="shared" ref="G60:G71" si="6">F60-E60+1</f>
        <v>1</v>
      </c>
      <c r="H60" s="23">
        <v>0.0</v>
      </c>
      <c r="I60" s="23"/>
      <c r="J60" s="49"/>
      <c r="K60" s="29"/>
      <c r="L60" s="29"/>
      <c r="M60" s="29"/>
      <c r="N60" s="29"/>
      <c r="O60" s="29"/>
      <c r="P60" s="29"/>
      <c r="Q60" s="29"/>
      <c r="R60" s="29"/>
      <c r="S60" s="29"/>
      <c r="T60" s="29"/>
    </row>
    <row r="61" ht="36.0" customHeight="1">
      <c r="A61" s="23" t="s">
        <v>187</v>
      </c>
      <c r="B61" s="23" t="s">
        <v>188</v>
      </c>
      <c r="C61" s="23" t="s">
        <v>189</v>
      </c>
      <c r="D61" s="23" t="s">
        <v>24</v>
      </c>
      <c r="E61" s="24">
        <v>46197.0</v>
      </c>
      <c r="F61" s="24">
        <v>46198.0</v>
      </c>
      <c r="G61" s="25">
        <f t="shared" si="6"/>
        <v>2</v>
      </c>
      <c r="H61" s="23">
        <v>0.0</v>
      </c>
      <c r="I61" s="23"/>
      <c r="J61" s="49"/>
      <c r="K61" s="29"/>
      <c r="L61" s="29"/>
      <c r="M61" s="29"/>
      <c r="N61" s="29"/>
      <c r="O61" s="29"/>
      <c r="P61" s="29"/>
      <c r="Q61" s="29"/>
      <c r="R61" s="29"/>
      <c r="S61" s="29"/>
      <c r="T61" s="29"/>
    </row>
    <row r="62" ht="36.0" customHeight="1">
      <c r="A62" s="23" t="s">
        <v>190</v>
      </c>
      <c r="B62" s="23" t="s">
        <v>191</v>
      </c>
      <c r="C62" s="23" t="s">
        <v>192</v>
      </c>
      <c r="D62" s="23" t="s">
        <v>24</v>
      </c>
      <c r="E62" s="24">
        <v>46198.0</v>
      </c>
      <c r="F62" s="24">
        <v>46199.0</v>
      </c>
      <c r="G62" s="25">
        <f t="shared" si="6"/>
        <v>2</v>
      </c>
      <c r="H62" s="23">
        <v>0.0</v>
      </c>
      <c r="I62" s="23"/>
      <c r="J62" s="49"/>
      <c r="K62" s="29"/>
      <c r="L62" s="29"/>
      <c r="M62" s="29"/>
      <c r="N62" s="29"/>
      <c r="O62" s="29"/>
      <c r="P62" s="29"/>
      <c r="Q62" s="29"/>
      <c r="R62" s="29"/>
      <c r="S62" s="29"/>
      <c r="T62" s="29"/>
    </row>
    <row r="63" ht="36.0" customHeight="1">
      <c r="A63" s="23" t="s">
        <v>193</v>
      </c>
      <c r="B63" s="23" t="s">
        <v>194</v>
      </c>
      <c r="C63" s="23" t="s">
        <v>195</v>
      </c>
      <c r="D63" s="23" t="s">
        <v>24</v>
      </c>
      <c r="E63" s="24">
        <v>46199.0</v>
      </c>
      <c r="F63" s="24">
        <v>46202.0</v>
      </c>
      <c r="G63" s="25">
        <f t="shared" si="6"/>
        <v>4</v>
      </c>
      <c r="H63" s="23">
        <v>0.0</v>
      </c>
      <c r="I63" s="23"/>
      <c r="J63" s="49"/>
      <c r="K63" s="29"/>
      <c r="L63" s="29"/>
      <c r="M63" s="29"/>
      <c r="N63" s="29"/>
      <c r="O63" s="29"/>
      <c r="P63" s="29"/>
      <c r="Q63" s="29"/>
      <c r="R63" s="29"/>
      <c r="S63" s="29"/>
      <c r="T63" s="29"/>
    </row>
    <row r="64" ht="36.0" customHeight="1">
      <c r="A64" s="31" t="s">
        <v>196</v>
      </c>
      <c r="B64" s="31" t="s">
        <v>197</v>
      </c>
      <c r="C64" s="31" t="s">
        <v>198</v>
      </c>
      <c r="D64" s="31" t="s">
        <v>29</v>
      </c>
      <c r="E64" s="32">
        <v>46197.0</v>
      </c>
      <c r="F64" s="32">
        <v>46198.0</v>
      </c>
      <c r="G64" s="33">
        <f t="shared" si="6"/>
        <v>2</v>
      </c>
      <c r="H64" s="31">
        <v>0.0</v>
      </c>
      <c r="I64" s="31"/>
      <c r="J64" s="59"/>
      <c r="K64" s="36"/>
      <c r="L64" s="36"/>
      <c r="M64" s="36"/>
      <c r="N64" s="36"/>
      <c r="O64" s="36"/>
      <c r="P64" s="36"/>
      <c r="Q64" s="36"/>
      <c r="R64" s="36"/>
      <c r="S64" s="36"/>
      <c r="T64" s="36"/>
    </row>
    <row r="65" ht="36.0" customHeight="1">
      <c r="A65" s="31" t="s">
        <v>199</v>
      </c>
      <c r="B65" s="31" t="s">
        <v>200</v>
      </c>
      <c r="C65" s="31" t="s">
        <v>201</v>
      </c>
      <c r="D65" s="31" t="s">
        <v>29</v>
      </c>
      <c r="E65" s="32">
        <v>46198.0</v>
      </c>
      <c r="F65" s="32">
        <v>46199.0</v>
      </c>
      <c r="G65" s="33">
        <f t="shared" si="6"/>
        <v>2</v>
      </c>
      <c r="H65" s="31">
        <v>0.0</v>
      </c>
      <c r="I65" s="31"/>
      <c r="J65" s="59"/>
      <c r="K65" s="36"/>
      <c r="L65" s="36"/>
      <c r="M65" s="36"/>
      <c r="N65" s="36"/>
      <c r="O65" s="36"/>
      <c r="P65" s="36"/>
      <c r="Q65" s="36"/>
      <c r="R65" s="36"/>
      <c r="S65" s="36"/>
      <c r="T65" s="36"/>
    </row>
    <row r="66" ht="36.0" customHeight="1">
      <c r="A66" s="37" t="s">
        <v>202</v>
      </c>
      <c r="B66" s="37" t="s">
        <v>203</v>
      </c>
      <c r="C66" s="37" t="s">
        <v>204</v>
      </c>
      <c r="D66" s="37" t="s">
        <v>34</v>
      </c>
      <c r="E66" s="38">
        <v>46197.0</v>
      </c>
      <c r="F66" s="38">
        <v>46198.0</v>
      </c>
      <c r="G66" s="39">
        <f t="shared" si="6"/>
        <v>2</v>
      </c>
      <c r="H66" s="37">
        <v>0.0</v>
      </c>
      <c r="I66" s="37"/>
      <c r="J66" s="53"/>
      <c r="K66" s="41"/>
      <c r="L66" s="41"/>
      <c r="M66" s="41"/>
      <c r="N66" s="41"/>
      <c r="O66" s="41"/>
      <c r="P66" s="41"/>
      <c r="Q66" s="41"/>
      <c r="R66" s="41"/>
      <c r="S66" s="41"/>
      <c r="T66" s="41"/>
    </row>
    <row r="67" ht="36.0" customHeight="1">
      <c r="A67" s="37" t="s">
        <v>205</v>
      </c>
      <c r="B67" s="37" t="s">
        <v>206</v>
      </c>
      <c r="C67" s="37" t="s">
        <v>207</v>
      </c>
      <c r="D67" s="37" t="s">
        <v>34</v>
      </c>
      <c r="E67" s="38">
        <v>46198.0</v>
      </c>
      <c r="F67" s="38">
        <v>46199.0</v>
      </c>
      <c r="G67" s="39">
        <f t="shared" si="6"/>
        <v>2</v>
      </c>
      <c r="H67" s="37">
        <v>0.0</v>
      </c>
      <c r="I67" s="37"/>
      <c r="J67" s="53"/>
      <c r="K67" s="41"/>
      <c r="L67" s="41"/>
      <c r="M67" s="41"/>
      <c r="N67" s="41"/>
      <c r="O67" s="41"/>
      <c r="P67" s="41"/>
      <c r="Q67" s="41"/>
      <c r="R67" s="41"/>
      <c r="S67" s="41"/>
      <c r="T67" s="41"/>
    </row>
    <row r="68" ht="36.0" customHeight="1">
      <c r="A68" s="37" t="s">
        <v>208</v>
      </c>
      <c r="B68" s="37" t="s">
        <v>209</v>
      </c>
      <c r="C68" s="37" t="s">
        <v>210</v>
      </c>
      <c r="D68" s="37" t="s">
        <v>34</v>
      </c>
      <c r="E68" s="38">
        <v>46199.0</v>
      </c>
      <c r="F68" s="38">
        <v>46199.0</v>
      </c>
      <c r="G68" s="39">
        <f t="shared" si="6"/>
        <v>1</v>
      </c>
      <c r="H68" s="37">
        <v>0.0</v>
      </c>
      <c r="I68" s="37"/>
      <c r="J68" s="53"/>
      <c r="K68" s="41"/>
      <c r="L68" s="41"/>
      <c r="M68" s="41"/>
      <c r="N68" s="41"/>
      <c r="O68" s="41"/>
      <c r="P68" s="41"/>
      <c r="Q68" s="41"/>
      <c r="R68" s="41"/>
      <c r="S68" s="41"/>
      <c r="T68" s="41"/>
    </row>
    <row r="69" ht="36.0" customHeight="1">
      <c r="A69" s="37" t="s">
        <v>211</v>
      </c>
      <c r="B69" s="37" t="s">
        <v>212</v>
      </c>
      <c r="C69" s="37" t="s">
        <v>213</v>
      </c>
      <c r="D69" s="37" t="s">
        <v>34</v>
      </c>
      <c r="E69" s="38">
        <v>46199.0</v>
      </c>
      <c r="F69" s="38">
        <v>46202.0</v>
      </c>
      <c r="G69" s="39">
        <f t="shared" si="6"/>
        <v>4</v>
      </c>
      <c r="H69" s="37">
        <v>0.0</v>
      </c>
      <c r="I69" s="37"/>
      <c r="J69" s="53"/>
      <c r="K69" s="41"/>
      <c r="L69" s="41"/>
      <c r="M69" s="41"/>
      <c r="N69" s="41"/>
      <c r="O69" s="41"/>
      <c r="P69" s="41"/>
      <c r="Q69" s="41"/>
      <c r="R69" s="41"/>
      <c r="S69" s="41"/>
      <c r="T69" s="41"/>
    </row>
    <row r="70" ht="36.0" customHeight="1">
      <c r="A70" s="37" t="s">
        <v>214</v>
      </c>
      <c r="B70" s="37" t="s">
        <v>215</v>
      </c>
      <c r="C70" s="37" t="s">
        <v>216</v>
      </c>
      <c r="D70" s="37" t="s">
        <v>34</v>
      </c>
      <c r="E70" s="38">
        <v>46202.0</v>
      </c>
      <c r="F70" s="38">
        <v>46202.0</v>
      </c>
      <c r="G70" s="39">
        <f t="shared" si="6"/>
        <v>1</v>
      </c>
      <c r="H70" s="37">
        <v>0.0</v>
      </c>
      <c r="I70" s="37"/>
      <c r="J70" s="53"/>
      <c r="K70" s="41"/>
      <c r="L70" s="41"/>
      <c r="M70" s="41"/>
      <c r="N70" s="41"/>
      <c r="O70" s="41"/>
      <c r="P70" s="41"/>
      <c r="Q70" s="41"/>
      <c r="R70" s="41"/>
      <c r="S70" s="41"/>
      <c r="T70" s="41"/>
    </row>
    <row r="71" ht="36.0" customHeight="1">
      <c r="A71" s="14" t="s">
        <v>217</v>
      </c>
      <c r="B71" s="14" t="s">
        <v>218</v>
      </c>
      <c r="C71" s="14" t="s">
        <v>219</v>
      </c>
      <c r="D71" s="14" t="s">
        <v>16</v>
      </c>
      <c r="E71" s="15">
        <v>46202.0</v>
      </c>
      <c r="F71" s="15">
        <v>46202.0</v>
      </c>
      <c r="G71" s="16">
        <f t="shared" si="6"/>
        <v>1</v>
      </c>
      <c r="H71" s="14">
        <v>0.0</v>
      </c>
      <c r="I71" s="14"/>
      <c r="J71" s="18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 ht="24.0" customHeight="1">
      <c r="A72" s="10" t="s">
        <v>220</v>
      </c>
      <c r="B72" s="10" t="s">
        <v>221</v>
      </c>
      <c r="C72" s="10"/>
      <c r="D72" s="10"/>
      <c r="E72" s="11"/>
      <c r="F72" s="11"/>
      <c r="G72" s="12"/>
      <c r="H72" s="10"/>
      <c r="I72" s="10"/>
      <c r="J72" s="18"/>
      <c r="K72" s="5"/>
      <c r="L72" s="5"/>
      <c r="M72" s="5"/>
      <c r="N72" s="5"/>
      <c r="O72" s="5"/>
      <c r="P72" s="5"/>
      <c r="Q72" s="5"/>
      <c r="R72" s="5"/>
      <c r="S72" s="5"/>
      <c r="T72" s="5"/>
    </row>
    <row r="73" ht="36.0" customHeight="1">
      <c r="A73" s="37" t="s">
        <v>222</v>
      </c>
      <c r="B73" s="37" t="s">
        <v>223</v>
      </c>
      <c r="C73" s="37" t="s">
        <v>224</v>
      </c>
      <c r="D73" s="37" t="s">
        <v>34</v>
      </c>
      <c r="E73" s="38">
        <v>46203.0</v>
      </c>
      <c r="F73" s="38">
        <v>46204.0</v>
      </c>
      <c r="G73" s="39">
        <f t="shared" ref="G73:G83" si="7">F73-E73+1</f>
        <v>2</v>
      </c>
      <c r="H73" s="37">
        <v>0.0</v>
      </c>
      <c r="I73" s="37"/>
      <c r="J73" s="53"/>
      <c r="K73" s="41"/>
      <c r="L73" s="41"/>
      <c r="M73" s="41"/>
      <c r="N73" s="41"/>
      <c r="O73" s="41"/>
      <c r="P73" s="41"/>
      <c r="Q73" s="41"/>
      <c r="R73" s="41"/>
      <c r="S73" s="41"/>
      <c r="T73" s="41"/>
    </row>
    <row r="74" ht="36.0" customHeight="1">
      <c r="A74" s="37" t="s">
        <v>225</v>
      </c>
      <c r="B74" s="37" t="s">
        <v>226</v>
      </c>
      <c r="C74" s="37" t="s">
        <v>227</v>
      </c>
      <c r="D74" s="37" t="s">
        <v>34</v>
      </c>
      <c r="E74" s="38">
        <v>46204.0</v>
      </c>
      <c r="F74" s="38">
        <v>46204.0</v>
      </c>
      <c r="G74" s="39">
        <f t="shared" si="7"/>
        <v>1</v>
      </c>
      <c r="H74" s="37">
        <v>0.0</v>
      </c>
      <c r="I74" s="37"/>
      <c r="J74" s="53"/>
      <c r="K74" s="41"/>
      <c r="L74" s="41"/>
      <c r="M74" s="41"/>
      <c r="N74" s="41"/>
      <c r="O74" s="41"/>
      <c r="P74" s="41"/>
      <c r="Q74" s="41"/>
      <c r="R74" s="41"/>
      <c r="S74" s="41"/>
      <c r="T74" s="41"/>
    </row>
    <row r="75" ht="36.0" customHeight="1">
      <c r="A75" s="37" t="s">
        <v>228</v>
      </c>
      <c r="B75" s="37" t="s">
        <v>229</v>
      </c>
      <c r="C75" s="37" t="s">
        <v>230</v>
      </c>
      <c r="D75" s="37" t="s">
        <v>34</v>
      </c>
      <c r="E75" s="38">
        <v>46204.0</v>
      </c>
      <c r="F75" s="38">
        <v>46205.0</v>
      </c>
      <c r="G75" s="39">
        <f t="shared" si="7"/>
        <v>2</v>
      </c>
      <c r="H75" s="37">
        <v>0.0</v>
      </c>
      <c r="I75" s="37"/>
      <c r="J75" s="53"/>
      <c r="K75" s="41"/>
      <c r="L75" s="41"/>
      <c r="M75" s="41"/>
      <c r="N75" s="41"/>
      <c r="O75" s="41"/>
      <c r="P75" s="41"/>
      <c r="Q75" s="41"/>
      <c r="R75" s="41"/>
      <c r="S75" s="41"/>
      <c r="T75" s="41"/>
    </row>
    <row r="76" ht="36.0" customHeight="1">
      <c r="A76" s="37" t="s">
        <v>231</v>
      </c>
      <c r="B76" s="37" t="s">
        <v>232</v>
      </c>
      <c r="C76" s="37" t="s">
        <v>233</v>
      </c>
      <c r="D76" s="37" t="s">
        <v>34</v>
      </c>
      <c r="E76" s="38">
        <v>46205.0</v>
      </c>
      <c r="F76" s="38">
        <v>46205.0</v>
      </c>
      <c r="G76" s="39">
        <f t="shared" si="7"/>
        <v>1</v>
      </c>
      <c r="H76" s="37">
        <v>0.0</v>
      </c>
      <c r="I76" s="37"/>
      <c r="J76" s="53"/>
      <c r="K76" s="41"/>
      <c r="L76" s="41"/>
      <c r="M76" s="41"/>
      <c r="N76" s="41"/>
      <c r="O76" s="41"/>
      <c r="P76" s="41"/>
      <c r="Q76" s="41"/>
      <c r="R76" s="41"/>
      <c r="S76" s="41"/>
      <c r="T76" s="41"/>
    </row>
    <row r="77" ht="36.0" customHeight="1">
      <c r="A77" s="23" t="s">
        <v>234</v>
      </c>
      <c r="B77" s="23" t="s">
        <v>235</v>
      </c>
      <c r="C77" s="23" t="s">
        <v>236</v>
      </c>
      <c r="D77" s="23" t="s">
        <v>24</v>
      </c>
      <c r="E77" s="24">
        <v>46203.0</v>
      </c>
      <c r="F77" s="24">
        <v>46204.0</v>
      </c>
      <c r="G77" s="25">
        <f t="shared" si="7"/>
        <v>2</v>
      </c>
      <c r="H77" s="23">
        <v>0.0</v>
      </c>
      <c r="I77" s="23"/>
      <c r="J77" s="49"/>
      <c r="K77" s="29"/>
      <c r="L77" s="29"/>
      <c r="M77" s="29"/>
      <c r="N77" s="29"/>
      <c r="O77" s="29"/>
      <c r="P77" s="29"/>
      <c r="Q77" s="29"/>
      <c r="R77" s="29"/>
      <c r="S77" s="29"/>
      <c r="T77" s="29"/>
    </row>
    <row r="78" ht="36.0" customHeight="1">
      <c r="A78" s="23" t="s">
        <v>237</v>
      </c>
      <c r="B78" s="23" t="s">
        <v>238</v>
      </c>
      <c r="C78" s="23" t="s">
        <v>239</v>
      </c>
      <c r="D78" s="23" t="s">
        <v>24</v>
      </c>
      <c r="E78" s="24">
        <v>46204.0</v>
      </c>
      <c r="F78" s="24">
        <v>46205.0</v>
      </c>
      <c r="G78" s="25">
        <f t="shared" si="7"/>
        <v>2</v>
      </c>
      <c r="H78" s="23">
        <v>0.0</v>
      </c>
      <c r="I78" s="23"/>
      <c r="J78" s="49"/>
      <c r="K78" s="29"/>
      <c r="L78" s="29"/>
      <c r="M78" s="29"/>
      <c r="N78" s="29"/>
      <c r="O78" s="29"/>
      <c r="P78" s="29"/>
      <c r="Q78" s="29"/>
      <c r="R78" s="29"/>
      <c r="S78" s="29"/>
      <c r="T78" s="29"/>
    </row>
    <row r="79" ht="36.0" customHeight="1">
      <c r="A79" s="23" t="s">
        <v>240</v>
      </c>
      <c r="B79" s="23" t="s">
        <v>241</v>
      </c>
      <c r="C79" s="23" t="s">
        <v>242</v>
      </c>
      <c r="D79" s="23" t="s">
        <v>24</v>
      </c>
      <c r="E79" s="24">
        <v>46205.0</v>
      </c>
      <c r="F79" s="24">
        <v>46206.0</v>
      </c>
      <c r="G79" s="25">
        <f t="shared" si="7"/>
        <v>2</v>
      </c>
      <c r="H79" s="23">
        <v>0.0</v>
      </c>
      <c r="I79" s="23"/>
      <c r="J79" s="49"/>
      <c r="K79" s="29"/>
      <c r="L79" s="29"/>
      <c r="M79" s="29"/>
      <c r="N79" s="29"/>
      <c r="O79" s="29"/>
      <c r="P79" s="29"/>
      <c r="Q79" s="29"/>
      <c r="R79" s="29"/>
      <c r="S79" s="29"/>
      <c r="T79" s="29"/>
    </row>
    <row r="80" ht="36.0" customHeight="1">
      <c r="A80" s="31" t="s">
        <v>243</v>
      </c>
      <c r="B80" s="31" t="s">
        <v>244</v>
      </c>
      <c r="C80" s="31" t="s">
        <v>245</v>
      </c>
      <c r="D80" s="31" t="s">
        <v>29</v>
      </c>
      <c r="E80" s="32">
        <v>46203.0</v>
      </c>
      <c r="F80" s="32">
        <v>46204.0</v>
      </c>
      <c r="G80" s="33">
        <f t="shared" si="7"/>
        <v>2</v>
      </c>
      <c r="H80" s="31">
        <v>0.0</v>
      </c>
      <c r="I80" s="31"/>
      <c r="J80" s="59"/>
      <c r="K80" s="36"/>
      <c r="L80" s="36"/>
      <c r="M80" s="36"/>
      <c r="N80" s="36"/>
      <c r="O80" s="36"/>
      <c r="P80" s="36"/>
      <c r="Q80" s="36"/>
      <c r="R80" s="36"/>
      <c r="S80" s="36"/>
      <c r="T80" s="36"/>
    </row>
    <row r="81" ht="36.0" customHeight="1">
      <c r="A81" s="31" t="s">
        <v>246</v>
      </c>
      <c r="B81" s="31" t="s">
        <v>247</v>
      </c>
      <c r="C81" s="31" t="s">
        <v>248</v>
      </c>
      <c r="D81" s="31" t="s">
        <v>29</v>
      </c>
      <c r="E81" s="32">
        <v>46204.0</v>
      </c>
      <c r="F81" s="32">
        <v>46205.0</v>
      </c>
      <c r="G81" s="33">
        <f t="shared" si="7"/>
        <v>2</v>
      </c>
      <c r="H81" s="31">
        <v>0.0</v>
      </c>
      <c r="I81" s="31"/>
      <c r="J81" s="59"/>
      <c r="K81" s="36"/>
      <c r="L81" s="36"/>
      <c r="M81" s="36"/>
      <c r="N81" s="36"/>
      <c r="O81" s="36"/>
      <c r="P81" s="36"/>
      <c r="Q81" s="36"/>
      <c r="R81" s="36"/>
      <c r="S81" s="36"/>
      <c r="T81" s="36"/>
    </row>
    <row r="82" ht="36.0" customHeight="1">
      <c r="A82" s="31" t="s">
        <v>249</v>
      </c>
      <c r="B82" s="31" t="s">
        <v>250</v>
      </c>
      <c r="C82" s="31" t="s">
        <v>251</v>
      </c>
      <c r="D82" s="31" t="s">
        <v>29</v>
      </c>
      <c r="E82" s="32">
        <v>46205.0</v>
      </c>
      <c r="F82" s="32">
        <v>46206.0</v>
      </c>
      <c r="G82" s="33">
        <f t="shared" si="7"/>
        <v>2</v>
      </c>
      <c r="H82" s="31">
        <v>0.0</v>
      </c>
      <c r="I82" s="31"/>
      <c r="J82" s="59"/>
      <c r="K82" s="36"/>
      <c r="L82" s="36"/>
      <c r="M82" s="36"/>
      <c r="N82" s="36"/>
      <c r="O82" s="36"/>
      <c r="P82" s="36"/>
      <c r="Q82" s="36"/>
      <c r="R82" s="36"/>
      <c r="S82" s="36"/>
      <c r="T82" s="36"/>
    </row>
    <row r="83" ht="36.0" customHeight="1">
      <c r="A83" s="14" t="s">
        <v>252</v>
      </c>
      <c r="B83" s="14" t="s">
        <v>253</v>
      </c>
      <c r="C83" s="14" t="s">
        <v>254</v>
      </c>
      <c r="D83" s="14" t="s">
        <v>16</v>
      </c>
      <c r="E83" s="15">
        <v>46206.0</v>
      </c>
      <c r="F83" s="15">
        <v>46206.0</v>
      </c>
      <c r="G83" s="16">
        <f t="shared" si="7"/>
        <v>1</v>
      </c>
      <c r="H83" s="14">
        <v>0.0</v>
      </c>
      <c r="I83" s="14"/>
      <c r="J83" s="18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 ht="24.0" customHeight="1">
      <c r="A84" s="10" t="s">
        <v>255</v>
      </c>
      <c r="B84" s="10" t="s">
        <v>256</v>
      </c>
      <c r="C84" s="10"/>
      <c r="D84" s="10"/>
      <c r="E84" s="11"/>
      <c r="F84" s="11"/>
      <c r="G84" s="12"/>
      <c r="H84" s="10"/>
      <c r="I84" s="10"/>
      <c r="J84" s="18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 ht="36.0" customHeight="1">
      <c r="A85" s="37" t="s">
        <v>257</v>
      </c>
      <c r="B85" s="37" t="s">
        <v>258</v>
      </c>
      <c r="C85" s="37" t="s">
        <v>259</v>
      </c>
      <c r="D85" s="37" t="s">
        <v>34</v>
      </c>
      <c r="E85" s="38">
        <v>46206.0</v>
      </c>
      <c r="F85" s="38">
        <v>46209.0</v>
      </c>
      <c r="G85" s="39">
        <f t="shared" ref="G85:G92" si="8">F85-E85+1</f>
        <v>4</v>
      </c>
      <c r="H85" s="37">
        <v>0.0</v>
      </c>
      <c r="I85" s="37"/>
      <c r="J85" s="53"/>
      <c r="K85" s="41"/>
      <c r="L85" s="41"/>
      <c r="M85" s="41"/>
      <c r="N85" s="41"/>
      <c r="O85" s="41"/>
      <c r="P85" s="41"/>
      <c r="Q85" s="41"/>
      <c r="R85" s="41"/>
      <c r="S85" s="41"/>
      <c r="T85" s="41"/>
    </row>
    <row r="86" ht="36.0" customHeight="1">
      <c r="A86" s="37" t="s">
        <v>260</v>
      </c>
      <c r="B86" s="37" t="s">
        <v>261</v>
      </c>
      <c r="C86" s="37" t="s">
        <v>262</v>
      </c>
      <c r="D86" s="37" t="s">
        <v>34</v>
      </c>
      <c r="E86" s="38">
        <v>46209.0</v>
      </c>
      <c r="F86" s="38">
        <v>46210.0</v>
      </c>
      <c r="G86" s="39">
        <f t="shared" si="8"/>
        <v>2</v>
      </c>
      <c r="H86" s="37">
        <v>0.0</v>
      </c>
      <c r="I86" s="37"/>
      <c r="J86" s="53"/>
      <c r="K86" s="41"/>
      <c r="L86" s="41"/>
      <c r="M86" s="41"/>
      <c r="N86" s="41"/>
      <c r="O86" s="41"/>
      <c r="P86" s="41"/>
      <c r="Q86" s="41"/>
      <c r="R86" s="41"/>
      <c r="S86" s="41"/>
      <c r="T86" s="41"/>
    </row>
    <row r="87" ht="36.0" customHeight="1">
      <c r="A87" s="23" t="s">
        <v>263</v>
      </c>
      <c r="B87" s="23" t="s">
        <v>264</v>
      </c>
      <c r="C87" s="23" t="s">
        <v>265</v>
      </c>
      <c r="D87" s="23" t="s">
        <v>24</v>
      </c>
      <c r="E87" s="24">
        <v>46206.0</v>
      </c>
      <c r="F87" s="24">
        <v>46206.0</v>
      </c>
      <c r="G87" s="25">
        <f t="shared" si="8"/>
        <v>1</v>
      </c>
      <c r="H87" s="23">
        <v>0.0</v>
      </c>
      <c r="I87" s="23"/>
      <c r="J87" s="49"/>
      <c r="K87" s="29"/>
      <c r="L87" s="29"/>
      <c r="M87" s="29"/>
      <c r="N87" s="29"/>
      <c r="O87" s="29"/>
      <c r="P87" s="29"/>
      <c r="Q87" s="29"/>
      <c r="R87" s="29"/>
      <c r="S87" s="29"/>
      <c r="T87" s="29"/>
    </row>
    <row r="88" ht="36.0" customHeight="1">
      <c r="A88" s="23" t="s">
        <v>266</v>
      </c>
      <c r="B88" s="23" t="s">
        <v>267</v>
      </c>
      <c r="C88" s="23" t="s">
        <v>268</v>
      </c>
      <c r="D88" s="23" t="s">
        <v>24</v>
      </c>
      <c r="E88" s="24">
        <v>46209.0</v>
      </c>
      <c r="F88" s="24">
        <v>46210.0</v>
      </c>
      <c r="G88" s="25">
        <f t="shared" si="8"/>
        <v>2</v>
      </c>
      <c r="H88" s="23">
        <v>0.0</v>
      </c>
      <c r="I88" s="23"/>
      <c r="J88" s="49"/>
      <c r="K88" s="29"/>
      <c r="L88" s="29"/>
      <c r="M88" s="29"/>
      <c r="N88" s="29"/>
      <c r="O88" s="29"/>
      <c r="P88" s="29"/>
      <c r="Q88" s="29"/>
      <c r="R88" s="29"/>
      <c r="S88" s="29"/>
      <c r="T88" s="29"/>
    </row>
    <row r="89" ht="36.0" customHeight="1">
      <c r="A89" s="23" t="s">
        <v>269</v>
      </c>
      <c r="B89" s="23" t="s">
        <v>270</v>
      </c>
      <c r="C89" s="23" t="s">
        <v>271</v>
      </c>
      <c r="D89" s="23" t="s">
        <v>24</v>
      </c>
      <c r="E89" s="24">
        <v>46210.0</v>
      </c>
      <c r="F89" s="24">
        <v>46210.0</v>
      </c>
      <c r="G89" s="25">
        <f t="shared" si="8"/>
        <v>1</v>
      </c>
      <c r="H89" s="23">
        <v>0.0</v>
      </c>
      <c r="I89" s="23"/>
      <c r="J89" s="49"/>
      <c r="K89" s="29"/>
      <c r="L89" s="29"/>
      <c r="M89" s="29"/>
      <c r="N89" s="29"/>
      <c r="O89" s="29"/>
      <c r="P89" s="29"/>
      <c r="Q89" s="29"/>
      <c r="R89" s="29"/>
      <c r="S89" s="29"/>
      <c r="T89" s="29"/>
    </row>
    <row r="90" ht="36.0" customHeight="1">
      <c r="A90" s="31" t="s">
        <v>272</v>
      </c>
      <c r="B90" s="31" t="s">
        <v>273</v>
      </c>
      <c r="C90" s="31" t="s">
        <v>274</v>
      </c>
      <c r="D90" s="31" t="s">
        <v>29</v>
      </c>
      <c r="E90" s="32">
        <v>46206.0</v>
      </c>
      <c r="F90" s="32">
        <v>46210.0</v>
      </c>
      <c r="G90" s="33">
        <f t="shared" si="8"/>
        <v>5</v>
      </c>
      <c r="H90" s="31">
        <v>0.0</v>
      </c>
      <c r="I90" s="31"/>
      <c r="J90" s="59"/>
      <c r="K90" s="36"/>
      <c r="L90" s="36"/>
      <c r="M90" s="36"/>
      <c r="N90" s="36"/>
      <c r="O90" s="36"/>
      <c r="P90" s="36"/>
      <c r="Q90" s="36"/>
      <c r="R90" s="36"/>
      <c r="S90" s="36"/>
      <c r="T90" s="36"/>
    </row>
    <row r="91" ht="36.0" customHeight="1">
      <c r="A91" s="31" t="s">
        <v>275</v>
      </c>
      <c r="B91" s="31" t="s">
        <v>276</v>
      </c>
      <c r="C91" s="31" t="s">
        <v>277</v>
      </c>
      <c r="D91" s="31" t="s">
        <v>29</v>
      </c>
      <c r="E91" s="32">
        <v>46210.0</v>
      </c>
      <c r="F91" s="32">
        <v>46210.0</v>
      </c>
      <c r="G91" s="33">
        <f t="shared" si="8"/>
        <v>1</v>
      </c>
      <c r="H91" s="31">
        <v>0.0</v>
      </c>
      <c r="I91" s="31"/>
      <c r="J91" s="59"/>
      <c r="K91" s="36"/>
      <c r="L91" s="36"/>
      <c r="M91" s="36"/>
      <c r="N91" s="36"/>
      <c r="O91" s="36"/>
      <c r="P91" s="36"/>
      <c r="Q91" s="36"/>
      <c r="R91" s="36"/>
      <c r="S91" s="36"/>
      <c r="T91" s="36"/>
    </row>
    <row r="92" ht="36.0" customHeight="1">
      <c r="A92" s="14" t="s">
        <v>278</v>
      </c>
      <c r="B92" s="14" t="s">
        <v>279</v>
      </c>
      <c r="C92" s="14" t="s">
        <v>280</v>
      </c>
      <c r="D92" s="14" t="s">
        <v>16</v>
      </c>
      <c r="E92" s="15">
        <v>46210.0</v>
      </c>
      <c r="F92" s="15">
        <v>46210.0</v>
      </c>
      <c r="G92" s="16">
        <f t="shared" si="8"/>
        <v>1</v>
      </c>
      <c r="H92" s="14">
        <v>0.0</v>
      </c>
      <c r="I92" s="14"/>
      <c r="J92" s="18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 ht="24.0" customHeight="1">
      <c r="A93" s="10" t="s">
        <v>281</v>
      </c>
      <c r="B93" s="10" t="s">
        <v>282</v>
      </c>
      <c r="C93" s="10"/>
      <c r="D93" s="10"/>
      <c r="E93" s="11"/>
      <c r="F93" s="11"/>
      <c r="G93" s="12"/>
      <c r="H93" s="10"/>
      <c r="I93" s="10"/>
      <c r="J93" s="18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 ht="36.0" customHeight="1">
      <c r="A94" s="37" t="s">
        <v>283</v>
      </c>
      <c r="B94" s="37" t="s">
        <v>284</v>
      </c>
      <c r="C94" s="37" t="s">
        <v>285</v>
      </c>
      <c r="D94" s="37" t="s">
        <v>34</v>
      </c>
      <c r="E94" s="38">
        <v>46211.0</v>
      </c>
      <c r="F94" s="38">
        <v>46212.0</v>
      </c>
      <c r="G94" s="39">
        <f t="shared" ref="G94:G102" si="9">F94-E94+1</f>
        <v>2</v>
      </c>
      <c r="H94" s="37">
        <v>0.0</v>
      </c>
      <c r="I94" s="37"/>
      <c r="J94" s="53"/>
      <c r="K94" s="41"/>
      <c r="L94" s="41"/>
      <c r="M94" s="41"/>
      <c r="N94" s="41"/>
      <c r="O94" s="41"/>
      <c r="P94" s="41"/>
      <c r="Q94" s="41"/>
      <c r="R94" s="41"/>
      <c r="S94" s="41"/>
      <c r="T94" s="41"/>
    </row>
    <row r="95" ht="36.0" customHeight="1">
      <c r="A95" s="37" t="s">
        <v>286</v>
      </c>
      <c r="B95" s="37" t="s">
        <v>287</v>
      </c>
      <c r="C95" s="37" t="s">
        <v>288</v>
      </c>
      <c r="D95" s="37" t="s">
        <v>34</v>
      </c>
      <c r="E95" s="38">
        <v>46212.0</v>
      </c>
      <c r="F95" s="38">
        <v>46212.0</v>
      </c>
      <c r="G95" s="39">
        <f t="shared" si="9"/>
        <v>1</v>
      </c>
      <c r="H95" s="37">
        <v>0.0</v>
      </c>
      <c r="I95" s="37"/>
      <c r="J95" s="53"/>
      <c r="K95" s="41"/>
      <c r="L95" s="41"/>
      <c r="M95" s="41"/>
      <c r="N95" s="41"/>
      <c r="O95" s="41"/>
      <c r="P95" s="41"/>
      <c r="Q95" s="41"/>
      <c r="R95" s="41"/>
      <c r="S95" s="41"/>
      <c r="T95" s="41"/>
    </row>
    <row r="96" ht="36.0" customHeight="1">
      <c r="A96" s="23" t="s">
        <v>289</v>
      </c>
      <c r="B96" s="23" t="s">
        <v>290</v>
      </c>
      <c r="C96" s="23" t="s">
        <v>291</v>
      </c>
      <c r="D96" s="23" t="s">
        <v>24</v>
      </c>
      <c r="E96" s="24">
        <v>46211.0</v>
      </c>
      <c r="F96" s="24">
        <v>46212.0</v>
      </c>
      <c r="G96" s="25">
        <f t="shared" si="9"/>
        <v>2</v>
      </c>
      <c r="H96" s="23">
        <v>0.0</v>
      </c>
      <c r="I96" s="23"/>
      <c r="J96" s="49"/>
      <c r="K96" s="29"/>
      <c r="L96" s="29"/>
      <c r="M96" s="29"/>
      <c r="N96" s="29"/>
      <c r="O96" s="29"/>
      <c r="P96" s="29"/>
      <c r="Q96" s="29"/>
      <c r="R96" s="29"/>
      <c r="S96" s="29"/>
      <c r="T96" s="29"/>
    </row>
    <row r="97" ht="36.0" customHeight="1">
      <c r="A97" s="23" t="s">
        <v>292</v>
      </c>
      <c r="B97" s="23" t="s">
        <v>293</v>
      </c>
      <c r="C97" s="23" t="s">
        <v>294</v>
      </c>
      <c r="D97" s="23" t="s">
        <v>24</v>
      </c>
      <c r="E97" s="24">
        <v>46212.0</v>
      </c>
      <c r="F97" s="24">
        <v>46212.0</v>
      </c>
      <c r="G97" s="25">
        <f t="shared" si="9"/>
        <v>1</v>
      </c>
      <c r="H97" s="23">
        <v>0.0</v>
      </c>
      <c r="I97" s="23"/>
      <c r="J97" s="49"/>
      <c r="K97" s="29"/>
      <c r="L97" s="29"/>
      <c r="M97" s="29"/>
      <c r="N97" s="29"/>
      <c r="O97" s="29"/>
      <c r="P97" s="29"/>
      <c r="Q97" s="29"/>
      <c r="R97" s="29"/>
      <c r="S97" s="29"/>
      <c r="T97" s="29"/>
    </row>
    <row r="98" ht="36.0" customHeight="1">
      <c r="A98" s="23" t="s">
        <v>295</v>
      </c>
      <c r="B98" s="23" t="s">
        <v>296</v>
      </c>
      <c r="C98" s="23" t="s">
        <v>297</v>
      </c>
      <c r="D98" s="23" t="s">
        <v>24</v>
      </c>
      <c r="E98" s="24">
        <v>46212.0</v>
      </c>
      <c r="F98" s="24">
        <v>46213.0</v>
      </c>
      <c r="G98" s="25">
        <f t="shared" si="9"/>
        <v>2</v>
      </c>
      <c r="H98" s="23">
        <v>0.0</v>
      </c>
      <c r="I98" s="23"/>
      <c r="J98" s="49"/>
      <c r="K98" s="29"/>
      <c r="L98" s="29"/>
      <c r="M98" s="29"/>
      <c r="N98" s="29"/>
      <c r="O98" s="29"/>
      <c r="P98" s="29"/>
      <c r="Q98" s="29"/>
      <c r="R98" s="29"/>
      <c r="S98" s="29"/>
      <c r="T98" s="29"/>
    </row>
    <row r="99" ht="36.0" customHeight="1">
      <c r="A99" s="23" t="s">
        <v>298</v>
      </c>
      <c r="B99" s="23" t="s">
        <v>299</v>
      </c>
      <c r="C99" s="23" t="s">
        <v>300</v>
      </c>
      <c r="D99" s="23" t="s">
        <v>24</v>
      </c>
      <c r="E99" s="24">
        <v>46213.0</v>
      </c>
      <c r="F99" s="24">
        <v>46216.0</v>
      </c>
      <c r="G99" s="25">
        <f t="shared" si="9"/>
        <v>4</v>
      </c>
      <c r="H99" s="23">
        <v>0.0</v>
      </c>
      <c r="I99" s="23"/>
      <c r="J99" s="49"/>
      <c r="K99" s="29"/>
      <c r="L99" s="29"/>
      <c r="M99" s="29"/>
      <c r="N99" s="29"/>
      <c r="O99" s="29"/>
      <c r="P99" s="29"/>
      <c r="Q99" s="29"/>
      <c r="R99" s="29"/>
      <c r="S99" s="29"/>
      <c r="T99" s="29"/>
    </row>
    <row r="100" ht="36.0" customHeight="1">
      <c r="A100" s="31" t="s">
        <v>301</v>
      </c>
      <c r="B100" s="31" t="s">
        <v>302</v>
      </c>
      <c r="C100" s="31" t="s">
        <v>303</v>
      </c>
      <c r="D100" s="31" t="s">
        <v>29</v>
      </c>
      <c r="E100" s="32">
        <v>46211.0</v>
      </c>
      <c r="F100" s="32">
        <v>46212.0</v>
      </c>
      <c r="G100" s="33">
        <f t="shared" si="9"/>
        <v>2</v>
      </c>
      <c r="H100" s="31">
        <v>0.0</v>
      </c>
      <c r="I100" s="31"/>
      <c r="J100" s="59"/>
      <c r="K100" s="36"/>
      <c r="L100" s="36"/>
      <c r="M100" s="36"/>
      <c r="N100" s="36"/>
      <c r="O100" s="36"/>
      <c r="P100" s="36"/>
      <c r="Q100" s="36"/>
      <c r="R100" s="36"/>
      <c r="S100" s="36"/>
      <c r="T100" s="36"/>
    </row>
    <row r="101" ht="36.0" customHeight="1">
      <c r="A101" s="31" t="s">
        <v>304</v>
      </c>
      <c r="B101" s="31" t="s">
        <v>305</v>
      </c>
      <c r="C101" s="31" t="s">
        <v>306</v>
      </c>
      <c r="D101" s="31" t="s">
        <v>29</v>
      </c>
      <c r="E101" s="32">
        <v>46212.0</v>
      </c>
      <c r="F101" s="32">
        <v>46216.0</v>
      </c>
      <c r="G101" s="33">
        <f t="shared" si="9"/>
        <v>5</v>
      </c>
      <c r="H101" s="31">
        <v>0.0</v>
      </c>
      <c r="I101" s="31"/>
      <c r="J101" s="59"/>
      <c r="K101" s="36"/>
      <c r="L101" s="36"/>
      <c r="M101" s="36"/>
      <c r="N101" s="36"/>
      <c r="O101" s="36"/>
      <c r="P101" s="36"/>
      <c r="Q101" s="36"/>
      <c r="R101" s="36"/>
      <c r="S101" s="36"/>
      <c r="T101" s="36"/>
    </row>
    <row r="102" ht="36.0" customHeight="1">
      <c r="A102" s="14" t="s">
        <v>307</v>
      </c>
      <c r="B102" s="14" t="s">
        <v>308</v>
      </c>
      <c r="C102" s="14" t="s">
        <v>309</v>
      </c>
      <c r="D102" s="14" t="s">
        <v>16</v>
      </c>
      <c r="E102" s="15">
        <v>46216.0</v>
      </c>
      <c r="F102" s="15">
        <v>46216.0</v>
      </c>
      <c r="G102" s="16">
        <f t="shared" si="9"/>
        <v>1</v>
      </c>
      <c r="H102" s="14">
        <v>0.0</v>
      </c>
      <c r="I102" s="14"/>
      <c r="J102" s="18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 ht="24.0" customHeight="1">
      <c r="A103" s="10" t="s">
        <v>310</v>
      </c>
      <c r="B103" s="10" t="s">
        <v>311</v>
      </c>
      <c r="C103" s="10"/>
      <c r="D103" s="10"/>
      <c r="E103" s="11"/>
      <c r="F103" s="11"/>
      <c r="G103" s="12"/>
      <c r="H103" s="10"/>
      <c r="I103" s="10"/>
      <c r="J103" s="18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 ht="36.0" customHeight="1">
      <c r="A104" s="23" t="s">
        <v>312</v>
      </c>
      <c r="B104" s="23" t="s">
        <v>313</v>
      </c>
      <c r="C104" s="23" t="s">
        <v>314</v>
      </c>
      <c r="D104" s="23" t="s">
        <v>24</v>
      </c>
      <c r="E104" s="24">
        <v>46216.0</v>
      </c>
      <c r="F104" s="24">
        <v>46217.0</v>
      </c>
      <c r="G104" s="25">
        <f t="shared" ref="G104:G113" si="10">F104-E104+1</f>
        <v>2</v>
      </c>
      <c r="H104" s="23">
        <v>0.0</v>
      </c>
      <c r="I104" s="23"/>
      <c r="J104" s="49"/>
      <c r="K104" s="29"/>
      <c r="L104" s="29"/>
      <c r="M104" s="29"/>
      <c r="N104" s="29"/>
      <c r="O104" s="29"/>
      <c r="P104" s="29"/>
      <c r="Q104" s="29"/>
      <c r="R104" s="29"/>
      <c r="S104" s="29"/>
      <c r="T104" s="29"/>
    </row>
    <row r="105" ht="36.0" customHeight="1">
      <c r="A105" s="31" t="s">
        <v>315</v>
      </c>
      <c r="B105" s="31" t="s">
        <v>316</v>
      </c>
      <c r="C105" s="31" t="s">
        <v>317</v>
      </c>
      <c r="D105" s="31" t="s">
        <v>29</v>
      </c>
      <c r="E105" s="32">
        <v>46216.0</v>
      </c>
      <c r="F105" s="32">
        <v>46217.0</v>
      </c>
      <c r="G105" s="33">
        <f t="shared" si="10"/>
        <v>2</v>
      </c>
      <c r="H105" s="31">
        <v>0.0</v>
      </c>
      <c r="I105" s="31"/>
      <c r="J105" s="59"/>
      <c r="K105" s="36"/>
      <c r="L105" s="36"/>
      <c r="M105" s="36"/>
      <c r="N105" s="36"/>
      <c r="O105" s="36"/>
      <c r="P105" s="36"/>
      <c r="Q105" s="36"/>
      <c r="R105" s="36"/>
      <c r="S105" s="36"/>
      <c r="T105" s="36"/>
    </row>
    <row r="106" ht="36.0" customHeight="1">
      <c r="A106" s="37" t="s">
        <v>318</v>
      </c>
      <c r="B106" s="37" t="s">
        <v>319</v>
      </c>
      <c r="C106" s="37" t="s">
        <v>320</v>
      </c>
      <c r="D106" s="37" t="s">
        <v>34</v>
      </c>
      <c r="E106" s="38">
        <v>46216.0</v>
      </c>
      <c r="F106" s="38">
        <v>46217.0</v>
      </c>
      <c r="G106" s="39">
        <f t="shared" si="10"/>
        <v>2</v>
      </c>
      <c r="H106" s="37">
        <v>0.0</v>
      </c>
      <c r="I106" s="37"/>
      <c r="J106" s="53"/>
      <c r="K106" s="41"/>
      <c r="L106" s="41"/>
      <c r="M106" s="41"/>
      <c r="N106" s="41"/>
      <c r="O106" s="41"/>
      <c r="P106" s="41"/>
      <c r="Q106" s="41"/>
      <c r="R106" s="41"/>
      <c r="S106" s="41"/>
      <c r="T106" s="41"/>
    </row>
    <row r="107" ht="36.0" customHeight="1">
      <c r="A107" s="37" t="s">
        <v>321</v>
      </c>
      <c r="B107" s="37" t="s">
        <v>322</v>
      </c>
      <c r="C107" s="37" t="s">
        <v>323</v>
      </c>
      <c r="D107" s="37" t="s">
        <v>34</v>
      </c>
      <c r="E107" s="38">
        <v>46217.0</v>
      </c>
      <c r="F107" s="38">
        <v>46218.0</v>
      </c>
      <c r="G107" s="39">
        <f t="shared" si="10"/>
        <v>2</v>
      </c>
      <c r="H107" s="37">
        <v>0.0</v>
      </c>
      <c r="I107" s="37"/>
      <c r="J107" s="53"/>
      <c r="K107" s="41"/>
      <c r="L107" s="41"/>
      <c r="M107" s="41"/>
      <c r="N107" s="41"/>
      <c r="O107" s="41"/>
      <c r="P107" s="41"/>
      <c r="Q107" s="41"/>
      <c r="R107" s="41"/>
      <c r="S107" s="41"/>
      <c r="T107" s="41"/>
    </row>
    <row r="108" ht="36.0" customHeight="1">
      <c r="A108" s="14" t="s">
        <v>324</v>
      </c>
      <c r="B108" s="14" t="s">
        <v>325</v>
      </c>
      <c r="C108" s="14" t="s">
        <v>326</v>
      </c>
      <c r="D108" s="14" t="s">
        <v>16</v>
      </c>
      <c r="E108" s="15">
        <v>46218.0</v>
      </c>
      <c r="F108" s="15">
        <v>46218.0</v>
      </c>
      <c r="G108" s="16">
        <f t="shared" si="10"/>
        <v>1</v>
      </c>
      <c r="H108" s="14">
        <v>0.0</v>
      </c>
      <c r="I108" s="14"/>
      <c r="J108" s="18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 ht="36.0" customHeight="1">
      <c r="A109" s="14" t="s">
        <v>327</v>
      </c>
      <c r="B109" s="14" t="s">
        <v>328</v>
      </c>
      <c r="C109" s="14" t="s">
        <v>329</v>
      </c>
      <c r="D109" s="14" t="s">
        <v>16</v>
      </c>
      <c r="E109" s="15">
        <v>46218.0</v>
      </c>
      <c r="F109" s="15">
        <v>46219.0</v>
      </c>
      <c r="G109" s="16">
        <f t="shared" si="10"/>
        <v>2</v>
      </c>
      <c r="H109" s="14">
        <v>0.0</v>
      </c>
      <c r="I109" s="14"/>
      <c r="J109" s="18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 ht="36.0" customHeight="1">
      <c r="A110" s="23" t="s">
        <v>330</v>
      </c>
      <c r="B110" s="23" t="s">
        <v>331</v>
      </c>
      <c r="C110" s="23" t="s">
        <v>332</v>
      </c>
      <c r="D110" s="23" t="s">
        <v>24</v>
      </c>
      <c r="E110" s="24">
        <v>46218.0</v>
      </c>
      <c r="F110" s="24">
        <v>46219.0</v>
      </c>
      <c r="G110" s="25">
        <f t="shared" si="10"/>
        <v>2</v>
      </c>
      <c r="H110" s="23">
        <v>0.0</v>
      </c>
      <c r="I110" s="23"/>
      <c r="J110" s="49"/>
      <c r="K110" s="29"/>
      <c r="L110" s="29"/>
      <c r="M110" s="29"/>
      <c r="N110" s="29"/>
      <c r="O110" s="29"/>
      <c r="P110" s="29"/>
      <c r="Q110" s="29"/>
      <c r="R110" s="29"/>
      <c r="S110" s="29"/>
      <c r="T110" s="29"/>
    </row>
    <row r="111" ht="36.0" customHeight="1">
      <c r="A111" s="23" t="s">
        <v>333</v>
      </c>
      <c r="B111" s="23" t="s">
        <v>334</v>
      </c>
      <c r="C111" s="23" t="s">
        <v>335</v>
      </c>
      <c r="D111" s="23" t="s">
        <v>24</v>
      </c>
      <c r="E111" s="24">
        <v>46219.0</v>
      </c>
      <c r="F111" s="24">
        <v>46220.0</v>
      </c>
      <c r="G111" s="25">
        <f t="shared" si="10"/>
        <v>2</v>
      </c>
      <c r="H111" s="23">
        <v>0.0</v>
      </c>
      <c r="I111" s="23"/>
      <c r="J111" s="49"/>
      <c r="K111" s="29"/>
      <c r="L111" s="29"/>
      <c r="M111" s="29"/>
      <c r="N111" s="29"/>
      <c r="O111" s="29"/>
      <c r="P111" s="29"/>
      <c r="Q111" s="29"/>
      <c r="R111" s="29"/>
      <c r="S111" s="29"/>
      <c r="T111" s="29"/>
    </row>
    <row r="112" ht="36.0" customHeight="1">
      <c r="A112" s="31" t="s">
        <v>336</v>
      </c>
      <c r="B112" s="31" t="s">
        <v>337</v>
      </c>
      <c r="C112" s="31" t="s">
        <v>338</v>
      </c>
      <c r="D112" s="31" t="s">
        <v>29</v>
      </c>
      <c r="E112" s="32">
        <v>46219.0</v>
      </c>
      <c r="F112" s="32">
        <v>46220.0</v>
      </c>
      <c r="G112" s="33">
        <f t="shared" si="10"/>
        <v>2</v>
      </c>
      <c r="H112" s="31">
        <v>0.0</v>
      </c>
      <c r="I112" s="31"/>
      <c r="J112" s="59"/>
      <c r="K112" s="36"/>
      <c r="L112" s="36"/>
      <c r="M112" s="36"/>
      <c r="N112" s="36"/>
      <c r="O112" s="36"/>
      <c r="P112" s="36"/>
      <c r="Q112" s="36"/>
      <c r="R112" s="36"/>
      <c r="S112" s="36"/>
      <c r="T112" s="36"/>
    </row>
    <row r="113" ht="36.0" customHeight="1">
      <c r="A113" s="37" t="s">
        <v>339</v>
      </c>
      <c r="B113" s="37" t="s">
        <v>340</v>
      </c>
      <c r="C113" s="37" t="s">
        <v>341</v>
      </c>
      <c r="D113" s="37" t="s">
        <v>34</v>
      </c>
      <c r="E113" s="38">
        <v>46219.0</v>
      </c>
      <c r="F113" s="38">
        <v>46220.0</v>
      </c>
      <c r="G113" s="39">
        <f t="shared" si="10"/>
        <v>2</v>
      </c>
      <c r="H113" s="37">
        <v>0.0</v>
      </c>
      <c r="I113" s="37"/>
      <c r="J113" s="53"/>
      <c r="K113" s="41"/>
      <c r="L113" s="41"/>
      <c r="M113" s="41"/>
      <c r="N113" s="41"/>
      <c r="O113" s="41"/>
      <c r="P113" s="41"/>
      <c r="Q113" s="41"/>
      <c r="R113" s="41"/>
      <c r="S113" s="41"/>
      <c r="T113" s="41"/>
    </row>
    <row r="114" ht="24.0" customHeight="1">
      <c r="A114" s="10" t="s">
        <v>342</v>
      </c>
      <c r="B114" s="10" t="s">
        <v>343</v>
      </c>
      <c r="C114" s="10"/>
      <c r="D114" s="10"/>
      <c r="E114" s="11"/>
      <c r="F114" s="11"/>
      <c r="G114" s="12"/>
      <c r="H114" s="10"/>
      <c r="I114" s="10"/>
      <c r="J114" s="18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 ht="36.0" customHeight="1">
      <c r="A115" s="23" t="s">
        <v>344</v>
      </c>
      <c r="B115" s="23" t="s">
        <v>345</v>
      </c>
      <c r="C115" s="23" t="s">
        <v>346</v>
      </c>
      <c r="D115" s="23" t="s">
        <v>24</v>
      </c>
      <c r="E115" s="24">
        <v>46220.0</v>
      </c>
      <c r="F115" s="24">
        <v>46223.0</v>
      </c>
      <c r="G115" s="25">
        <f t="shared" ref="G115:G124" si="11">F115-E115+1</f>
        <v>4</v>
      </c>
      <c r="H115" s="23">
        <v>0.0</v>
      </c>
      <c r="I115" s="23"/>
      <c r="J115" s="49"/>
      <c r="K115" s="29"/>
      <c r="L115" s="29"/>
      <c r="M115" s="29"/>
      <c r="N115" s="29"/>
      <c r="O115" s="29"/>
      <c r="P115" s="29"/>
      <c r="Q115" s="29"/>
      <c r="R115" s="29"/>
      <c r="S115" s="29"/>
      <c r="T115" s="29"/>
    </row>
    <row r="116" ht="36.0" customHeight="1">
      <c r="A116" s="31" t="s">
        <v>347</v>
      </c>
      <c r="B116" s="31" t="s">
        <v>348</v>
      </c>
      <c r="C116" s="31" t="s">
        <v>349</v>
      </c>
      <c r="D116" s="31" t="s">
        <v>29</v>
      </c>
      <c r="E116" s="32">
        <v>46220.0</v>
      </c>
      <c r="F116" s="32">
        <v>46223.0</v>
      </c>
      <c r="G116" s="33">
        <f t="shared" si="11"/>
        <v>4</v>
      </c>
      <c r="H116" s="31">
        <v>0.0</v>
      </c>
      <c r="I116" s="31"/>
      <c r="J116" s="59"/>
      <c r="K116" s="36"/>
      <c r="L116" s="36"/>
      <c r="M116" s="36"/>
      <c r="N116" s="36"/>
      <c r="O116" s="36"/>
      <c r="P116" s="36"/>
      <c r="Q116" s="36"/>
      <c r="R116" s="36"/>
      <c r="S116" s="36"/>
      <c r="T116" s="36"/>
    </row>
    <row r="117" ht="36.0" customHeight="1">
      <c r="A117" s="37" t="s">
        <v>350</v>
      </c>
      <c r="B117" s="37" t="s">
        <v>351</v>
      </c>
      <c r="C117" s="37" t="s">
        <v>352</v>
      </c>
      <c r="D117" s="37" t="s">
        <v>34</v>
      </c>
      <c r="E117" s="38">
        <v>46220.0</v>
      </c>
      <c r="F117" s="38">
        <v>46223.0</v>
      </c>
      <c r="G117" s="39">
        <f t="shared" si="11"/>
        <v>4</v>
      </c>
      <c r="H117" s="37">
        <v>0.0</v>
      </c>
      <c r="I117" s="37"/>
      <c r="J117" s="53"/>
      <c r="K117" s="41"/>
      <c r="L117" s="41"/>
      <c r="M117" s="41"/>
      <c r="N117" s="41"/>
      <c r="O117" s="41"/>
      <c r="P117" s="41"/>
      <c r="Q117" s="41"/>
      <c r="R117" s="41"/>
      <c r="S117" s="41"/>
      <c r="T117" s="41"/>
    </row>
    <row r="118" ht="36.0" customHeight="1">
      <c r="A118" s="14" t="s">
        <v>353</v>
      </c>
      <c r="B118" s="14" t="s">
        <v>354</v>
      </c>
      <c r="C118" s="14" t="s">
        <v>355</v>
      </c>
      <c r="D118" s="14" t="s">
        <v>16</v>
      </c>
      <c r="E118" s="15">
        <v>46223.0</v>
      </c>
      <c r="F118" s="15">
        <v>46224.0</v>
      </c>
      <c r="G118" s="16">
        <f t="shared" si="11"/>
        <v>2</v>
      </c>
      <c r="H118" s="14">
        <v>0.0</v>
      </c>
      <c r="I118" s="14"/>
      <c r="J118" s="18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 ht="36.0" customHeight="1">
      <c r="A119" s="23" t="s">
        <v>356</v>
      </c>
      <c r="B119" s="23" t="s">
        <v>357</v>
      </c>
      <c r="C119" s="23" t="s">
        <v>358</v>
      </c>
      <c r="D119" s="23" t="s">
        <v>24</v>
      </c>
      <c r="E119" s="24">
        <v>46224.0</v>
      </c>
      <c r="F119" s="24">
        <v>46224.0</v>
      </c>
      <c r="G119" s="25">
        <f t="shared" si="11"/>
        <v>1</v>
      </c>
      <c r="H119" s="23">
        <v>0.0</v>
      </c>
      <c r="I119" s="23"/>
      <c r="J119" s="49"/>
      <c r="K119" s="29"/>
      <c r="L119" s="29"/>
      <c r="M119" s="29"/>
      <c r="N119" s="29"/>
      <c r="O119" s="29"/>
      <c r="P119" s="29"/>
      <c r="Q119" s="29"/>
      <c r="R119" s="29"/>
      <c r="S119" s="29"/>
      <c r="T119" s="29"/>
    </row>
    <row r="120" ht="36.0" customHeight="1">
      <c r="A120" s="37" t="s">
        <v>359</v>
      </c>
      <c r="B120" s="37" t="s">
        <v>360</v>
      </c>
      <c r="C120" s="37" t="s">
        <v>361</v>
      </c>
      <c r="D120" s="37" t="s">
        <v>34</v>
      </c>
      <c r="E120" s="38">
        <v>46224.0</v>
      </c>
      <c r="F120" s="38">
        <v>46224.0</v>
      </c>
      <c r="G120" s="39">
        <f t="shared" si="11"/>
        <v>1</v>
      </c>
      <c r="H120" s="37">
        <v>0.0</v>
      </c>
      <c r="I120" s="37"/>
      <c r="J120" s="53"/>
      <c r="K120" s="41"/>
      <c r="L120" s="41"/>
      <c r="M120" s="41"/>
      <c r="N120" s="41"/>
      <c r="O120" s="41"/>
      <c r="P120" s="41"/>
      <c r="Q120" s="41"/>
      <c r="R120" s="41"/>
      <c r="S120" s="41"/>
      <c r="T120" s="41"/>
    </row>
    <row r="121" ht="36.0" customHeight="1">
      <c r="A121" s="31" t="s">
        <v>362</v>
      </c>
      <c r="B121" s="31" t="s">
        <v>363</v>
      </c>
      <c r="C121" s="31" t="s">
        <v>364</v>
      </c>
      <c r="D121" s="31" t="s">
        <v>29</v>
      </c>
      <c r="E121" s="32">
        <v>46224.0</v>
      </c>
      <c r="F121" s="32">
        <v>46225.0</v>
      </c>
      <c r="G121" s="33">
        <f t="shared" si="11"/>
        <v>2</v>
      </c>
      <c r="H121" s="31">
        <v>0.0</v>
      </c>
      <c r="I121" s="31"/>
      <c r="J121" s="59"/>
      <c r="K121" s="36"/>
      <c r="L121" s="36"/>
      <c r="M121" s="36"/>
      <c r="N121" s="36"/>
      <c r="O121" s="36"/>
      <c r="P121" s="36"/>
      <c r="Q121" s="36"/>
      <c r="R121" s="36"/>
      <c r="S121" s="36"/>
      <c r="T121" s="36"/>
    </row>
    <row r="122" ht="36.0" customHeight="1">
      <c r="A122" s="14" t="s">
        <v>365</v>
      </c>
      <c r="B122" s="14" t="s">
        <v>366</v>
      </c>
      <c r="C122" s="14" t="s">
        <v>367</v>
      </c>
      <c r="D122" s="14" t="s">
        <v>16</v>
      </c>
      <c r="E122" s="15">
        <v>46225.0</v>
      </c>
      <c r="F122" s="15">
        <v>46226.0</v>
      </c>
      <c r="G122" s="16">
        <f t="shared" si="11"/>
        <v>2</v>
      </c>
      <c r="H122" s="14">
        <v>0.0</v>
      </c>
      <c r="I122" s="14"/>
      <c r="J122" s="18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 ht="36.0" customHeight="1">
      <c r="A123" s="14" t="s">
        <v>368</v>
      </c>
      <c r="B123" s="14" t="s">
        <v>369</v>
      </c>
      <c r="C123" s="14" t="s">
        <v>370</v>
      </c>
      <c r="D123" s="14" t="s">
        <v>16</v>
      </c>
      <c r="E123" s="15">
        <v>46226.0</v>
      </c>
      <c r="F123" s="15">
        <v>46226.0</v>
      </c>
      <c r="G123" s="16">
        <f t="shared" si="11"/>
        <v>1</v>
      </c>
      <c r="H123" s="14">
        <v>0.0</v>
      </c>
      <c r="I123" s="14"/>
      <c r="J123" s="18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 ht="36.0" customHeight="1">
      <c r="A124" s="14" t="s">
        <v>371</v>
      </c>
      <c r="B124" s="14" t="s">
        <v>372</v>
      </c>
      <c r="C124" s="14" t="s">
        <v>373</v>
      </c>
      <c r="D124" s="14" t="s">
        <v>16</v>
      </c>
      <c r="E124" s="15">
        <v>46226.0</v>
      </c>
      <c r="F124" s="15">
        <v>46227.0</v>
      </c>
      <c r="G124" s="16">
        <f t="shared" si="11"/>
        <v>2</v>
      </c>
      <c r="H124" s="14">
        <v>0.0</v>
      </c>
      <c r="I124" s="14"/>
      <c r="J124" s="18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18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18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18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18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18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18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18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18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18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18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18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18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18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18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18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18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18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18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18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18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18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18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18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18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18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18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18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18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18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18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18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18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18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18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18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18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18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18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18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18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18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18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18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18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18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18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18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18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18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18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18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18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18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18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18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18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 ht="15.75" customHeight="1">
      <c r="A181" s="61"/>
      <c r="B181" s="61"/>
      <c r="C181" s="61"/>
      <c r="D181" s="61"/>
      <c r="E181" s="61"/>
      <c r="F181" s="61"/>
      <c r="G181" s="61"/>
      <c r="H181" s="61"/>
      <c r="I181" s="61"/>
      <c r="J181" s="18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 ht="15.75" customHeight="1">
      <c r="A182" s="61"/>
      <c r="B182" s="61"/>
      <c r="C182" s="61"/>
      <c r="D182" s="61"/>
      <c r="E182" s="61"/>
      <c r="F182" s="61"/>
      <c r="G182" s="61"/>
      <c r="H182" s="61"/>
      <c r="I182" s="61"/>
      <c r="J182" s="18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 ht="15.75" customHeight="1">
      <c r="A183" s="61"/>
      <c r="B183" s="61"/>
      <c r="C183" s="61"/>
      <c r="D183" s="61"/>
      <c r="E183" s="61"/>
      <c r="F183" s="61"/>
      <c r="G183" s="61"/>
      <c r="H183" s="61"/>
      <c r="I183" s="61"/>
      <c r="J183" s="18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 ht="15.75" customHeight="1">
      <c r="A184" s="61"/>
      <c r="B184" s="61"/>
      <c r="C184" s="61"/>
      <c r="D184" s="61"/>
      <c r="E184" s="61"/>
      <c r="F184" s="61"/>
      <c r="G184" s="61"/>
      <c r="H184" s="61"/>
      <c r="I184" s="61"/>
      <c r="J184" s="18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 ht="15.75" customHeight="1">
      <c r="A185" s="61"/>
      <c r="B185" s="61"/>
      <c r="C185" s="61"/>
      <c r="D185" s="61"/>
      <c r="E185" s="61"/>
      <c r="F185" s="61"/>
      <c r="G185" s="61"/>
      <c r="H185" s="61"/>
      <c r="I185" s="61"/>
      <c r="J185" s="18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 ht="15.75" customHeight="1">
      <c r="A186" s="61"/>
      <c r="B186" s="61"/>
      <c r="C186" s="61"/>
      <c r="D186" s="61"/>
      <c r="E186" s="61"/>
      <c r="F186" s="61"/>
      <c r="G186" s="61"/>
      <c r="H186" s="61"/>
      <c r="I186" s="61"/>
      <c r="J186" s="18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 ht="15.75" customHeight="1">
      <c r="A187" s="61"/>
      <c r="B187" s="61"/>
      <c r="C187" s="61"/>
      <c r="D187" s="61"/>
      <c r="E187" s="61"/>
      <c r="F187" s="61"/>
      <c r="G187" s="61"/>
      <c r="H187" s="61"/>
      <c r="I187" s="61"/>
      <c r="J187" s="18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 ht="15.75" customHeight="1">
      <c r="A188" s="61"/>
      <c r="B188" s="61"/>
      <c r="C188" s="61"/>
      <c r="D188" s="61"/>
      <c r="E188" s="61"/>
      <c r="F188" s="61"/>
      <c r="G188" s="61"/>
      <c r="H188" s="61"/>
      <c r="I188" s="61"/>
      <c r="J188" s="18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 ht="15.75" customHeight="1">
      <c r="A189" s="61"/>
      <c r="B189" s="61"/>
      <c r="C189" s="61"/>
      <c r="D189" s="61"/>
      <c r="E189" s="61"/>
      <c r="F189" s="61"/>
      <c r="G189" s="61"/>
      <c r="H189" s="61"/>
      <c r="I189" s="61"/>
      <c r="J189" s="18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 ht="15.75" customHeight="1">
      <c r="A190" s="61"/>
      <c r="B190" s="61"/>
      <c r="C190" s="61"/>
      <c r="D190" s="61"/>
      <c r="E190" s="61"/>
      <c r="F190" s="61"/>
      <c r="G190" s="61"/>
      <c r="H190" s="61"/>
      <c r="I190" s="61"/>
      <c r="J190" s="18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 ht="15.75" customHeight="1">
      <c r="A191" s="61"/>
      <c r="B191" s="61"/>
      <c r="C191" s="61"/>
      <c r="D191" s="61"/>
      <c r="E191" s="61"/>
      <c r="F191" s="61"/>
      <c r="G191" s="61"/>
      <c r="H191" s="61"/>
      <c r="I191" s="61"/>
      <c r="J191" s="18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 ht="15.75" customHeight="1">
      <c r="A192" s="61"/>
      <c r="B192" s="61"/>
      <c r="C192" s="61"/>
      <c r="D192" s="61"/>
      <c r="E192" s="61"/>
      <c r="F192" s="61"/>
      <c r="G192" s="61"/>
      <c r="H192" s="61"/>
      <c r="I192" s="61"/>
      <c r="J192" s="18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 ht="15.75" customHeight="1">
      <c r="A193" s="61"/>
      <c r="B193" s="61"/>
      <c r="C193" s="61"/>
      <c r="D193" s="61"/>
      <c r="E193" s="61"/>
      <c r="F193" s="61"/>
      <c r="G193" s="61"/>
      <c r="H193" s="61"/>
      <c r="I193" s="61"/>
      <c r="J193" s="18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 ht="15.75" customHeight="1">
      <c r="A194" s="61"/>
      <c r="B194" s="61"/>
      <c r="C194" s="61"/>
      <c r="D194" s="61"/>
      <c r="E194" s="61"/>
      <c r="F194" s="61"/>
      <c r="G194" s="61"/>
      <c r="H194" s="61"/>
      <c r="I194" s="61"/>
      <c r="J194" s="18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 ht="15.75" customHeight="1">
      <c r="A195" s="61"/>
      <c r="B195" s="61"/>
      <c r="C195" s="61"/>
      <c r="D195" s="61"/>
      <c r="E195" s="61"/>
      <c r="F195" s="61"/>
      <c r="G195" s="61"/>
      <c r="H195" s="61"/>
      <c r="I195" s="61"/>
      <c r="J195" s="18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 ht="15.75" customHeight="1">
      <c r="A196" s="61"/>
      <c r="B196" s="61"/>
      <c r="C196" s="61"/>
      <c r="D196" s="61"/>
      <c r="E196" s="61"/>
      <c r="F196" s="61"/>
      <c r="G196" s="61"/>
      <c r="H196" s="61"/>
      <c r="I196" s="61"/>
      <c r="J196" s="18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 ht="15.75" customHeight="1">
      <c r="A197" s="61"/>
      <c r="B197" s="61"/>
      <c r="C197" s="61"/>
      <c r="D197" s="61"/>
      <c r="E197" s="61"/>
      <c r="F197" s="61"/>
      <c r="G197" s="61"/>
      <c r="H197" s="61"/>
      <c r="I197" s="61"/>
      <c r="J197" s="18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 ht="15.75" customHeight="1">
      <c r="A198" s="61"/>
      <c r="B198" s="61"/>
      <c r="C198" s="61"/>
      <c r="D198" s="61"/>
      <c r="E198" s="61"/>
      <c r="F198" s="61"/>
      <c r="G198" s="61"/>
      <c r="H198" s="61"/>
      <c r="I198" s="61"/>
      <c r="J198" s="18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 ht="15.75" customHeight="1">
      <c r="A199" s="61"/>
      <c r="B199" s="61"/>
      <c r="C199" s="61"/>
      <c r="D199" s="61"/>
      <c r="E199" s="61"/>
      <c r="F199" s="61"/>
      <c r="G199" s="61"/>
      <c r="H199" s="61"/>
      <c r="I199" s="61"/>
      <c r="J199" s="18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 ht="15.75" customHeight="1">
      <c r="A200" s="61"/>
      <c r="B200" s="61"/>
      <c r="C200" s="61"/>
      <c r="D200" s="61"/>
      <c r="E200" s="61"/>
      <c r="F200" s="61"/>
      <c r="G200" s="61"/>
      <c r="H200" s="61"/>
      <c r="I200" s="61"/>
      <c r="J200" s="18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 ht="15.75" customHeight="1">
      <c r="A201" s="61"/>
      <c r="B201" s="61"/>
      <c r="C201" s="61"/>
      <c r="D201" s="61"/>
      <c r="E201" s="61"/>
      <c r="F201" s="61"/>
      <c r="G201" s="61"/>
      <c r="H201" s="61"/>
      <c r="I201" s="61"/>
      <c r="J201" s="18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 ht="15.75" customHeight="1">
      <c r="A202" s="61"/>
      <c r="B202" s="61"/>
      <c r="C202" s="61"/>
      <c r="D202" s="61"/>
      <c r="E202" s="61"/>
      <c r="F202" s="61"/>
      <c r="G202" s="61"/>
      <c r="H202" s="61"/>
      <c r="I202" s="61"/>
      <c r="J202" s="18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 ht="15.75" customHeight="1">
      <c r="A203" s="61"/>
      <c r="B203" s="61"/>
      <c r="C203" s="61"/>
      <c r="D203" s="61"/>
      <c r="E203" s="61"/>
      <c r="F203" s="61"/>
      <c r="G203" s="61"/>
      <c r="H203" s="61"/>
      <c r="I203" s="61"/>
      <c r="J203" s="18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 ht="15.75" customHeight="1">
      <c r="A204" s="61"/>
      <c r="B204" s="61"/>
      <c r="C204" s="61"/>
      <c r="D204" s="61"/>
      <c r="E204" s="61"/>
      <c r="F204" s="61"/>
      <c r="G204" s="61"/>
      <c r="H204" s="61"/>
      <c r="I204" s="61"/>
      <c r="J204" s="18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 ht="15.75" customHeight="1">
      <c r="A205" s="61"/>
      <c r="B205" s="61"/>
      <c r="C205" s="61"/>
      <c r="D205" s="61"/>
      <c r="E205" s="61"/>
      <c r="F205" s="61"/>
      <c r="G205" s="61"/>
      <c r="H205" s="61"/>
      <c r="I205" s="61"/>
      <c r="J205" s="18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 ht="15.75" customHeight="1">
      <c r="A206" s="61"/>
      <c r="B206" s="61"/>
      <c r="C206" s="61"/>
      <c r="D206" s="61"/>
      <c r="E206" s="61"/>
      <c r="F206" s="61"/>
      <c r="G206" s="61"/>
      <c r="H206" s="61"/>
      <c r="I206" s="61"/>
      <c r="J206" s="18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 ht="15.75" customHeight="1">
      <c r="A207" s="61"/>
      <c r="B207" s="61"/>
      <c r="C207" s="61"/>
      <c r="D207" s="61"/>
      <c r="E207" s="61"/>
      <c r="F207" s="61"/>
      <c r="G207" s="61"/>
      <c r="H207" s="61"/>
      <c r="I207" s="61"/>
      <c r="J207" s="18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 ht="15.75" customHeight="1">
      <c r="A208" s="61"/>
      <c r="B208" s="61"/>
      <c r="C208" s="61"/>
      <c r="D208" s="61"/>
      <c r="E208" s="61"/>
      <c r="F208" s="61"/>
      <c r="G208" s="61"/>
      <c r="H208" s="61"/>
      <c r="I208" s="61"/>
      <c r="J208" s="18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 ht="15.75" customHeight="1">
      <c r="A209" s="61"/>
      <c r="B209" s="61"/>
      <c r="C209" s="61"/>
      <c r="D209" s="61"/>
      <c r="E209" s="61"/>
      <c r="F209" s="61"/>
      <c r="G209" s="61"/>
      <c r="H209" s="61"/>
      <c r="I209" s="61"/>
      <c r="J209" s="18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 ht="15.75" customHeight="1">
      <c r="A210" s="61"/>
      <c r="B210" s="61"/>
      <c r="C210" s="61"/>
      <c r="D210" s="61"/>
      <c r="E210" s="61"/>
      <c r="F210" s="61"/>
      <c r="G210" s="61"/>
      <c r="H210" s="61"/>
      <c r="I210" s="61"/>
      <c r="J210" s="18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 ht="15.75" customHeight="1">
      <c r="A211" s="61"/>
      <c r="B211" s="61"/>
      <c r="C211" s="61"/>
      <c r="D211" s="61"/>
      <c r="E211" s="61"/>
      <c r="F211" s="61"/>
      <c r="G211" s="61"/>
      <c r="H211" s="61"/>
      <c r="I211" s="61"/>
      <c r="J211" s="18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 ht="15.75" customHeight="1">
      <c r="A212" s="61"/>
      <c r="B212" s="61"/>
      <c r="C212" s="61"/>
      <c r="D212" s="61"/>
      <c r="E212" s="61"/>
      <c r="F212" s="61"/>
      <c r="G212" s="61"/>
      <c r="H212" s="61"/>
      <c r="I212" s="61"/>
      <c r="J212" s="18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 ht="15.75" customHeight="1">
      <c r="A213" s="61"/>
      <c r="B213" s="61"/>
      <c r="C213" s="61"/>
      <c r="D213" s="61"/>
      <c r="E213" s="61"/>
      <c r="F213" s="61"/>
      <c r="G213" s="61"/>
      <c r="H213" s="61"/>
      <c r="I213" s="61"/>
      <c r="J213" s="18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 ht="15.75" customHeight="1">
      <c r="A214" s="61"/>
      <c r="B214" s="61"/>
      <c r="C214" s="61"/>
      <c r="D214" s="61"/>
      <c r="E214" s="61"/>
      <c r="F214" s="61"/>
      <c r="G214" s="61"/>
      <c r="H214" s="61"/>
      <c r="I214" s="61"/>
      <c r="J214" s="18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 ht="15.75" customHeight="1">
      <c r="A215" s="61"/>
      <c r="B215" s="61"/>
      <c r="C215" s="61"/>
      <c r="D215" s="61"/>
      <c r="E215" s="61"/>
      <c r="F215" s="61"/>
      <c r="G215" s="61"/>
      <c r="H215" s="61"/>
      <c r="I215" s="61"/>
      <c r="J215" s="18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 ht="15.75" customHeight="1">
      <c r="A216" s="61"/>
      <c r="B216" s="61"/>
      <c r="C216" s="61"/>
      <c r="D216" s="61"/>
      <c r="E216" s="61"/>
      <c r="F216" s="61"/>
      <c r="G216" s="61"/>
      <c r="H216" s="61"/>
      <c r="I216" s="61"/>
      <c r="J216" s="18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 ht="15.75" customHeight="1">
      <c r="A217" s="61"/>
      <c r="B217" s="61"/>
      <c r="C217" s="61"/>
      <c r="D217" s="61"/>
      <c r="E217" s="61"/>
      <c r="F217" s="61"/>
      <c r="G217" s="61"/>
      <c r="H217" s="61"/>
      <c r="I217" s="61"/>
      <c r="J217" s="18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 ht="15.75" customHeight="1">
      <c r="A218" s="61"/>
      <c r="B218" s="61"/>
      <c r="C218" s="61"/>
      <c r="D218" s="61"/>
      <c r="E218" s="61"/>
      <c r="F218" s="61"/>
      <c r="G218" s="61"/>
      <c r="H218" s="61"/>
      <c r="I218" s="61"/>
      <c r="J218" s="18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 ht="15.75" customHeight="1">
      <c r="A219" s="61"/>
      <c r="B219" s="61"/>
      <c r="C219" s="61"/>
      <c r="D219" s="61"/>
      <c r="E219" s="61"/>
      <c r="F219" s="61"/>
      <c r="G219" s="61"/>
      <c r="H219" s="61"/>
      <c r="I219" s="61"/>
      <c r="J219" s="18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 ht="15.75" customHeight="1">
      <c r="A220" s="61"/>
      <c r="B220" s="61"/>
      <c r="C220" s="61"/>
      <c r="D220" s="61"/>
      <c r="E220" s="61"/>
      <c r="F220" s="61"/>
      <c r="G220" s="61"/>
      <c r="H220" s="61"/>
      <c r="I220" s="61"/>
      <c r="J220" s="18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 ht="15.75" customHeight="1">
      <c r="A221" s="61"/>
      <c r="B221" s="61"/>
      <c r="C221" s="61"/>
      <c r="D221" s="61"/>
      <c r="E221" s="61"/>
      <c r="F221" s="61"/>
      <c r="G221" s="61"/>
      <c r="H221" s="61"/>
      <c r="I221" s="61"/>
      <c r="J221" s="18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 ht="15.75" customHeight="1">
      <c r="A222" s="61"/>
      <c r="B222" s="61"/>
      <c r="C222" s="61"/>
      <c r="D222" s="61"/>
      <c r="E222" s="61"/>
      <c r="F222" s="61"/>
      <c r="G222" s="61"/>
      <c r="H222" s="61"/>
      <c r="I222" s="61"/>
      <c r="J222" s="18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18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18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18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18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18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18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18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18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18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18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18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18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18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18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18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18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18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18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18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18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18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18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18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18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18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18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18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18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18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18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18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18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18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18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18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18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18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18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18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18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18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18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18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18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18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18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18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18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18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18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18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18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18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18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18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18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18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18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18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18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18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18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18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18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18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18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18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18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18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18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18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18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18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18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18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18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18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18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18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18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18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18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18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18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18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18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18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18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18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18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18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18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18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18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18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18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18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18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18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18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18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18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18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18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18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18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18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18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18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18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18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18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18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18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18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18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18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18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18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18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18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18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18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18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18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18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18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18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18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18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18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18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18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18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18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18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18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18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18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18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18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18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18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18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18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18"/>
      <c r="K368" s="5"/>
      <c r="L368" s="5"/>
      <c r="M368" s="5"/>
      <c r="N368" s="5"/>
      <c r="O368" s="5"/>
      <c r="P368" s="5"/>
      <c r="Q368" s="5"/>
      <c r="R368" s="5"/>
      <c r="S368" s="5"/>
      <c r="T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18"/>
      <c r="K369" s="5"/>
      <c r="L369" s="5"/>
      <c r="M369" s="5"/>
      <c r="N369" s="5"/>
      <c r="O369" s="5"/>
      <c r="P369" s="5"/>
      <c r="Q369" s="5"/>
      <c r="R369" s="5"/>
      <c r="S369" s="5"/>
      <c r="T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18"/>
      <c r="K370" s="5"/>
      <c r="L370" s="5"/>
      <c r="M370" s="5"/>
      <c r="N370" s="5"/>
      <c r="O370" s="5"/>
      <c r="P370" s="5"/>
      <c r="Q370" s="5"/>
      <c r="R370" s="5"/>
      <c r="S370" s="5"/>
      <c r="T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18"/>
      <c r="K371" s="5"/>
      <c r="L371" s="5"/>
      <c r="M371" s="5"/>
      <c r="N371" s="5"/>
      <c r="O371" s="5"/>
      <c r="P371" s="5"/>
      <c r="Q371" s="5"/>
      <c r="R371" s="5"/>
      <c r="S371" s="5"/>
      <c r="T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18"/>
      <c r="K372" s="5"/>
      <c r="L372" s="5"/>
      <c r="M372" s="5"/>
      <c r="N372" s="5"/>
      <c r="O372" s="5"/>
      <c r="P372" s="5"/>
      <c r="Q372" s="5"/>
      <c r="R372" s="5"/>
      <c r="S372" s="5"/>
      <c r="T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18"/>
      <c r="K373" s="5"/>
      <c r="L373" s="5"/>
      <c r="M373" s="5"/>
      <c r="N373" s="5"/>
      <c r="O373" s="5"/>
      <c r="P373" s="5"/>
      <c r="Q373" s="5"/>
      <c r="R373" s="5"/>
      <c r="S373" s="5"/>
      <c r="T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18"/>
      <c r="K374" s="5"/>
      <c r="L374" s="5"/>
      <c r="M374" s="5"/>
      <c r="N374" s="5"/>
      <c r="O374" s="5"/>
      <c r="P374" s="5"/>
      <c r="Q374" s="5"/>
      <c r="R374" s="5"/>
      <c r="S374" s="5"/>
      <c r="T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18"/>
      <c r="K375" s="5"/>
      <c r="L375" s="5"/>
      <c r="M375" s="5"/>
      <c r="N375" s="5"/>
      <c r="O375" s="5"/>
      <c r="P375" s="5"/>
      <c r="Q375" s="5"/>
      <c r="R375" s="5"/>
      <c r="S375" s="5"/>
      <c r="T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18"/>
      <c r="K376" s="5"/>
      <c r="L376" s="5"/>
      <c r="M376" s="5"/>
      <c r="N376" s="5"/>
      <c r="O376" s="5"/>
      <c r="P376" s="5"/>
      <c r="Q376" s="5"/>
      <c r="R376" s="5"/>
      <c r="S376" s="5"/>
      <c r="T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18"/>
      <c r="K377" s="5"/>
      <c r="L377" s="5"/>
      <c r="M377" s="5"/>
      <c r="N377" s="5"/>
      <c r="O377" s="5"/>
      <c r="P377" s="5"/>
      <c r="Q377" s="5"/>
      <c r="R377" s="5"/>
      <c r="S377" s="5"/>
      <c r="T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18"/>
      <c r="K378" s="5"/>
      <c r="L378" s="5"/>
      <c r="M378" s="5"/>
      <c r="N378" s="5"/>
      <c r="O378" s="5"/>
      <c r="P378" s="5"/>
      <c r="Q378" s="5"/>
      <c r="R378" s="5"/>
      <c r="S378" s="5"/>
      <c r="T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18"/>
      <c r="K379" s="5"/>
      <c r="L379" s="5"/>
      <c r="M379" s="5"/>
      <c r="N379" s="5"/>
      <c r="O379" s="5"/>
      <c r="P379" s="5"/>
      <c r="Q379" s="5"/>
      <c r="R379" s="5"/>
      <c r="S379" s="5"/>
      <c r="T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18"/>
      <c r="K380" s="5"/>
      <c r="L380" s="5"/>
      <c r="M380" s="5"/>
      <c r="N380" s="5"/>
      <c r="O380" s="5"/>
      <c r="P380" s="5"/>
      <c r="Q380" s="5"/>
      <c r="R380" s="5"/>
      <c r="S380" s="5"/>
      <c r="T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18"/>
      <c r="K381" s="5"/>
      <c r="L381" s="5"/>
      <c r="M381" s="5"/>
      <c r="N381" s="5"/>
      <c r="O381" s="5"/>
      <c r="P381" s="5"/>
      <c r="Q381" s="5"/>
      <c r="R381" s="5"/>
      <c r="S381" s="5"/>
      <c r="T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18"/>
      <c r="K382" s="5"/>
      <c r="L382" s="5"/>
      <c r="M382" s="5"/>
      <c r="N382" s="5"/>
      <c r="O382" s="5"/>
      <c r="P382" s="5"/>
      <c r="Q382" s="5"/>
      <c r="R382" s="5"/>
      <c r="S382" s="5"/>
      <c r="T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18"/>
      <c r="K383" s="5"/>
      <c r="L383" s="5"/>
      <c r="M383" s="5"/>
      <c r="N383" s="5"/>
      <c r="O383" s="5"/>
      <c r="P383" s="5"/>
      <c r="Q383" s="5"/>
      <c r="R383" s="5"/>
      <c r="S383" s="5"/>
      <c r="T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18"/>
      <c r="K384" s="5"/>
      <c r="L384" s="5"/>
      <c r="M384" s="5"/>
      <c r="N384" s="5"/>
      <c r="O384" s="5"/>
      <c r="P384" s="5"/>
      <c r="Q384" s="5"/>
      <c r="R384" s="5"/>
      <c r="S384" s="5"/>
      <c r="T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18"/>
      <c r="K385" s="5"/>
      <c r="L385" s="5"/>
      <c r="M385" s="5"/>
      <c r="N385" s="5"/>
      <c r="O385" s="5"/>
      <c r="P385" s="5"/>
      <c r="Q385" s="5"/>
      <c r="R385" s="5"/>
      <c r="S385" s="5"/>
      <c r="T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18"/>
      <c r="K386" s="5"/>
      <c r="L386" s="5"/>
      <c r="M386" s="5"/>
      <c r="N386" s="5"/>
      <c r="O386" s="5"/>
      <c r="P386" s="5"/>
      <c r="Q386" s="5"/>
      <c r="R386" s="5"/>
      <c r="S386" s="5"/>
      <c r="T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18"/>
      <c r="K387" s="5"/>
      <c r="L387" s="5"/>
      <c r="M387" s="5"/>
      <c r="N387" s="5"/>
      <c r="O387" s="5"/>
      <c r="P387" s="5"/>
      <c r="Q387" s="5"/>
      <c r="R387" s="5"/>
      <c r="S387" s="5"/>
      <c r="T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18"/>
      <c r="K388" s="5"/>
      <c r="L388" s="5"/>
      <c r="M388" s="5"/>
      <c r="N388" s="5"/>
      <c r="O388" s="5"/>
      <c r="P388" s="5"/>
      <c r="Q388" s="5"/>
      <c r="R388" s="5"/>
      <c r="S388" s="5"/>
      <c r="T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18"/>
      <c r="K389" s="5"/>
      <c r="L389" s="5"/>
      <c r="M389" s="5"/>
      <c r="N389" s="5"/>
      <c r="O389" s="5"/>
      <c r="P389" s="5"/>
      <c r="Q389" s="5"/>
      <c r="R389" s="5"/>
      <c r="S389" s="5"/>
      <c r="T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18"/>
      <c r="K390" s="5"/>
      <c r="L390" s="5"/>
      <c r="M390" s="5"/>
      <c r="N390" s="5"/>
      <c r="O390" s="5"/>
      <c r="P390" s="5"/>
      <c r="Q390" s="5"/>
      <c r="R390" s="5"/>
      <c r="S390" s="5"/>
      <c r="T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18"/>
      <c r="K391" s="5"/>
      <c r="L391" s="5"/>
      <c r="M391" s="5"/>
      <c r="N391" s="5"/>
      <c r="O391" s="5"/>
      <c r="P391" s="5"/>
      <c r="Q391" s="5"/>
      <c r="R391" s="5"/>
      <c r="S391" s="5"/>
      <c r="T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18"/>
      <c r="K392" s="5"/>
      <c r="L392" s="5"/>
      <c r="M392" s="5"/>
      <c r="N392" s="5"/>
      <c r="O392" s="5"/>
      <c r="P392" s="5"/>
      <c r="Q392" s="5"/>
      <c r="R392" s="5"/>
      <c r="S392" s="5"/>
      <c r="T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18"/>
      <c r="K393" s="5"/>
      <c r="L393" s="5"/>
      <c r="M393" s="5"/>
      <c r="N393" s="5"/>
      <c r="O393" s="5"/>
      <c r="P393" s="5"/>
      <c r="Q393" s="5"/>
      <c r="R393" s="5"/>
      <c r="S393" s="5"/>
      <c r="T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18"/>
      <c r="K394" s="5"/>
      <c r="L394" s="5"/>
      <c r="M394" s="5"/>
      <c r="N394" s="5"/>
      <c r="O394" s="5"/>
      <c r="P394" s="5"/>
      <c r="Q394" s="5"/>
      <c r="R394" s="5"/>
      <c r="S394" s="5"/>
      <c r="T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18"/>
      <c r="K395" s="5"/>
      <c r="L395" s="5"/>
      <c r="M395" s="5"/>
      <c r="N395" s="5"/>
      <c r="O395" s="5"/>
      <c r="P395" s="5"/>
      <c r="Q395" s="5"/>
      <c r="R395" s="5"/>
      <c r="S395" s="5"/>
      <c r="T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18"/>
      <c r="K396" s="5"/>
      <c r="L396" s="5"/>
      <c r="M396" s="5"/>
      <c r="N396" s="5"/>
      <c r="O396" s="5"/>
      <c r="P396" s="5"/>
      <c r="Q396" s="5"/>
      <c r="R396" s="5"/>
      <c r="S396" s="5"/>
      <c r="T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18"/>
      <c r="K397" s="5"/>
      <c r="L397" s="5"/>
      <c r="M397" s="5"/>
      <c r="N397" s="5"/>
      <c r="O397" s="5"/>
      <c r="P397" s="5"/>
      <c r="Q397" s="5"/>
      <c r="R397" s="5"/>
      <c r="S397" s="5"/>
      <c r="T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18"/>
      <c r="K398" s="5"/>
      <c r="L398" s="5"/>
      <c r="M398" s="5"/>
      <c r="N398" s="5"/>
      <c r="O398" s="5"/>
      <c r="P398" s="5"/>
      <c r="Q398" s="5"/>
      <c r="R398" s="5"/>
      <c r="S398" s="5"/>
      <c r="T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18"/>
      <c r="K399" s="5"/>
      <c r="L399" s="5"/>
      <c r="M399" s="5"/>
      <c r="N399" s="5"/>
      <c r="O399" s="5"/>
      <c r="P399" s="5"/>
      <c r="Q399" s="5"/>
      <c r="R399" s="5"/>
      <c r="S399" s="5"/>
      <c r="T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18"/>
      <c r="K400" s="5"/>
      <c r="L400" s="5"/>
      <c r="M400" s="5"/>
      <c r="N400" s="5"/>
      <c r="O400" s="5"/>
      <c r="P400" s="5"/>
      <c r="Q400" s="5"/>
      <c r="R400" s="5"/>
      <c r="S400" s="5"/>
      <c r="T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18"/>
      <c r="K401" s="5"/>
      <c r="L401" s="5"/>
      <c r="M401" s="5"/>
      <c r="N401" s="5"/>
      <c r="O401" s="5"/>
      <c r="P401" s="5"/>
      <c r="Q401" s="5"/>
      <c r="R401" s="5"/>
      <c r="S401" s="5"/>
      <c r="T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18"/>
      <c r="K402" s="5"/>
      <c r="L402" s="5"/>
      <c r="M402" s="5"/>
      <c r="N402" s="5"/>
      <c r="O402" s="5"/>
      <c r="P402" s="5"/>
      <c r="Q402" s="5"/>
      <c r="R402" s="5"/>
      <c r="S402" s="5"/>
      <c r="T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18"/>
      <c r="K403" s="5"/>
      <c r="L403" s="5"/>
      <c r="M403" s="5"/>
      <c r="N403" s="5"/>
      <c r="O403" s="5"/>
      <c r="P403" s="5"/>
      <c r="Q403" s="5"/>
      <c r="R403" s="5"/>
      <c r="S403" s="5"/>
      <c r="T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18"/>
      <c r="K404" s="5"/>
      <c r="L404" s="5"/>
      <c r="M404" s="5"/>
      <c r="N404" s="5"/>
      <c r="O404" s="5"/>
      <c r="P404" s="5"/>
      <c r="Q404" s="5"/>
      <c r="R404" s="5"/>
      <c r="S404" s="5"/>
      <c r="T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18"/>
      <c r="K405" s="5"/>
      <c r="L405" s="5"/>
      <c r="M405" s="5"/>
      <c r="N405" s="5"/>
      <c r="O405" s="5"/>
      <c r="P405" s="5"/>
      <c r="Q405" s="5"/>
      <c r="R405" s="5"/>
      <c r="S405" s="5"/>
      <c r="T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18"/>
      <c r="K406" s="5"/>
      <c r="L406" s="5"/>
      <c r="M406" s="5"/>
      <c r="N406" s="5"/>
      <c r="O406" s="5"/>
      <c r="P406" s="5"/>
      <c r="Q406" s="5"/>
      <c r="R406" s="5"/>
      <c r="S406" s="5"/>
      <c r="T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18"/>
      <c r="K407" s="5"/>
      <c r="L407" s="5"/>
      <c r="M407" s="5"/>
      <c r="N407" s="5"/>
      <c r="O407" s="5"/>
      <c r="P407" s="5"/>
      <c r="Q407" s="5"/>
      <c r="R407" s="5"/>
      <c r="S407" s="5"/>
      <c r="T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18"/>
      <c r="K408" s="5"/>
      <c r="L408" s="5"/>
      <c r="M408" s="5"/>
      <c r="N408" s="5"/>
      <c r="O408" s="5"/>
      <c r="P408" s="5"/>
      <c r="Q408" s="5"/>
      <c r="R408" s="5"/>
      <c r="S408" s="5"/>
      <c r="T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18"/>
      <c r="K409" s="5"/>
      <c r="L409" s="5"/>
      <c r="M409" s="5"/>
      <c r="N409" s="5"/>
      <c r="O409" s="5"/>
      <c r="P409" s="5"/>
      <c r="Q409" s="5"/>
      <c r="R409" s="5"/>
      <c r="S409" s="5"/>
      <c r="T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18"/>
      <c r="K410" s="5"/>
      <c r="L410" s="5"/>
      <c r="M410" s="5"/>
      <c r="N410" s="5"/>
      <c r="O410" s="5"/>
      <c r="P410" s="5"/>
      <c r="Q410" s="5"/>
      <c r="R410" s="5"/>
      <c r="S410" s="5"/>
      <c r="T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18"/>
      <c r="K411" s="5"/>
      <c r="L411" s="5"/>
      <c r="M411" s="5"/>
      <c r="N411" s="5"/>
      <c r="O411" s="5"/>
      <c r="P411" s="5"/>
      <c r="Q411" s="5"/>
      <c r="R411" s="5"/>
      <c r="S411" s="5"/>
      <c r="T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18"/>
      <c r="K412" s="5"/>
      <c r="L412" s="5"/>
      <c r="M412" s="5"/>
      <c r="N412" s="5"/>
      <c r="O412" s="5"/>
      <c r="P412" s="5"/>
      <c r="Q412" s="5"/>
      <c r="R412" s="5"/>
      <c r="S412" s="5"/>
      <c r="T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18"/>
      <c r="K413" s="5"/>
      <c r="L413" s="5"/>
      <c r="M413" s="5"/>
      <c r="N413" s="5"/>
      <c r="O413" s="5"/>
      <c r="P413" s="5"/>
      <c r="Q413" s="5"/>
      <c r="R413" s="5"/>
      <c r="S413" s="5"/>
      <c r="T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18"/>
      <c r="K414" s="5"/>
      <c r="L414" s="5"/>
      <c r="M414" s="5"/>
      <c r="N414" s="5"/>
      <c r="O414" s="5"/>
      <c r="P414" s="5"/>
      <c r="Q414" s="5"/>
      <c r="R414" s="5"/>
      <c r="S414" s="5"/>
      <c r="T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18"/>
      <c r="K415" s="5"/>
      <c r="L415" s="5"/>
      <c r="M415" s="5"/>
      <c r="N415" s="5"/>
      <c r="O415" s="5"/>
      <c r="P415" s="5"/>
      <c r="Q415" s="5"/>
      <c r="R415" s="5"/>
      <c r="S415" s="5"/>
      <c r="T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18"/>
      <c r="K416" s="5"/>
      <c r="L416" s="5"/>
      <c r="M416" s="5"/>
      <c r="N416" s="5"/>
      <c r="O416" s="5"/>
      <c r="P416" s="5"/>
      <c r="Q416" s="5"/>
      <c r="R416" s="5"/>
      <c r="S416" s="5"/>
      <c r="T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18"/>
      <c r="K417" s="5"/>
      <c r="L417" s="5"/>
      <c r="M417" s="5"/>
      <c r="N417" s="5"/>
      <c r="O417" s="5"/>
      <c r="P417" s="5"/>
      <c r="Q417" s="5"/>
      <c r="R417" s="5"/>
      <c r="S417" s="5"/>
      <c r="T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18"/>
      <c r="K418" s="5"/>
      <c r="L418" s="5"/>
      <c r="M418" s="5"/>
      <c r="N418" s="5"/>
      <c r="O418" s="5"/>
      <c r="P418" s="5"/>
      <c r="Q418" s="5"/>
      <c r="R418" s="5"/>
      <c r="S418" s="5"/>
      <c r="T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18"/>
      <c r="K419" s="5"/>
      <c r="L419" s="5"/>
      <c r="M419" s="5"/>
      <c r="N419" s="5"/>
      <c r="O419" s="5"/>
      <c r="P419" s="5"/>
      <c r="Q419" s="5"/>
      <c r="R419" s="5"/>
      <c r="S419" s="5"/>
      <c r="T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18"/>
      <c r="K420" s="5"/>
      <c r="L420" s="5"/>
      <c r="M420" s="5"/>
      <c r="N420" s="5"/>
      <c r="O420" s="5"/>
      <c r="P420" s="5"/>
      <c r="Q420" s="5"/>
      <c r="R420" s="5"/>
      <c r="S420" s="5"/>
      <c r="T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18"/>
      <c r="K421" s="5"/>
      <c r="L421" s="5"/>
      <c r="M421" s="5"/>
      <c r="N421" s="5"/>
      <c r="O421" s="5"/>
      <c r="P421" s="5"/>
      <c r="Q421" s="5"/>
      <c r="R421" s="5"/>
      <c r="S421" s="5"/>
      <c r="T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18"/>
      <c r="K422" s="5"/>
      <c r="L422" s="5"/>
      <c r="M422" s="5"/>
      <c r="N422" s="5"/>
      <c r="O422" s="5"/>
      <c r="P422" s="5"/>
      <c r="Q422" s="5"/>
      <c r="R422" s="5"/>
      <c r="S422" s="5"/>
      <c r="T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18"/>
      <c r="K423" s="5"/>
      <c r="L423" s="5"/>
      <c r="M423" s="5"/>
      <c r="N423" s="5"/>
      <c r="O423" s="5"/>
      <c r="P423" s="5"/>
      <c r="Q423" s="5"/>
      <c r="R423" s="5"/>
      <c r="S423" s="5"/>
      <c r="T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18"/>
      <c r="K424" s="5"/>
      <c r="L424" s="5"/>
      <c r="M424" s="5"/>
      <c r="N424" s="5"/>
      <c r="O424" s="5"/>
      <c r="P424" s="5"/>
      <c r="Q424" s="5"/>
      <c r="R424" s="5"/>
      <c r="S424" s="5"/>
      <c r="T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18"/>
      <c r="K425" s="5"/>
      <c r="L425" s="5"/>
      <c r="M425" s="5"/>
      <c r="N425" s="5"/>
      <c r="O425" s="5"/>
      <c r="P425" s="5"/>
      <c r="Q425" s="5"/>
      <c r="R425" s="5"/>
      <c r="S425" s="5"/>
      <c r="T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18"/>
      <c r="K426" s="5"/>
      <c r="L426" s="5"/>
      <c r="M426" s="5"/>
      <c r="N426" s="5"/>
      <c r="O426" s="5"/>
      <c r="P426" s="5"/>
      <c r="Q426" s="5"/>
      <c r="R426" s="5"/>
      <c r="S426" s="5"/>
      <c r="T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18"/>
      <c r="K427" s="5"/>
      <c r="L427" s="5"/>
      <c r="M427" s="5"/>
      <c r="N427" s="5"/>
      <c r="O427" s="5"/>
      <c r="P427" s="5"/>
      <c r="Q427" s="5"/>
      <c r="R427" s="5"/>
      <c r="S427" s="5"/>
      <c r="T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18"/>
      <c r="K428" s="5"/>
      <c r="L428" s="5"/>
      <c r="M428" s="5"/>
      <c r="N428" s="5"/>
      <c r="O428" s="5"/>
      <c r="P428" s="5"/>
      <c r="Q428" s="5"/>
      <c r="R428" s="5"/>
      <c r="S428" s="5"/>
      <c r="T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18"/>
      <c r="K429" s="5"/>
      <c r="L429" s="5"/>
      <c r="M429" s="5"/>
      <c r="N429" s="5"/>
      <c r="O429" s="5"/>
      <c r="P429" s="5"/>
      <c r="Q429" s="5"/>
      <c r="R429" s="5"/>
      <c r="S429" s="5"/>
      <c r="T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18"/>
      <c r="K430" s="5"/>
      <c r="L430" s="5"/>
      <c r="M430" s="5"/>
      <c r="N430" s="5"/>
      <c r="O430" s="5"/>
      <c r="P430" s="5"/>
      <c r="Q430" s="5"/>
      <c r="R430" s="5"/>
      <c r="S430" s="5"/>
      <c r="T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18"/>
      <c r="K431" s="5"/>
      <c r="L431" s="5"/>
      <c r="M431" s="5"/>
      <c r="N431" s="5"/>
      <c r="O431" s="5"/>
      <c r="P431" s="5"/>
      <c r="Q431" s="5"/>
      <c r="R431" s="5"/>
      <c r="S431" s="5"/>
      <c r="T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18"/>
      <c r="K432" s="5"/>
      <c r="L432" s="5"/>
      <c r="M432" s="5"/>
      <c r="N432" s="5"/>
      <c r="O432" s="5"/>
      <c r="P432" s="5"/>
      <c r="Q432" s="5"/>
      <c r="R432" s="5"/>
      <c r="S432" s="5"/>
      <c r="T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18"/>
      <c r="K433" s="5"/>
      <c r="L433" s="5"/>
      <c r="M433" s="5"/>
      <c r="N433" s="5"/>
      <c r="O433" s="5"/>
      <c r="P433" s="5"/>
      <c r="Q433" s="5"/>
      <c r="R433" s="5"/>
      <c r="S433" s="5"/>
      <c r="T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18"/>
      <c r="K434" s="5"/>
      <c r="L434" s="5"/>
      <c r="M434" s="5"/>
      <c r="N434" s="5"/>
      <c r="O434" s="5"/>
      <c r="P434" s="5"/>
      <c r="Q434" s="5"/>
      <c r="R434" s="5"/>
      <c r="S434" s="5"/>
      <c r="T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18"/>
      <c r="K435" s="5"/>
      <c r="L435" s="5"/>
      <c r="M435" s="5"/>
      <c r="N435" s="5"/>
      <c r="O435" s="5"/>
      <c r="P435" s="5"/>
      <c r="Q435" s="5"/>
      <c r="R435" s="5"/>
      <c r="S435" s="5"/>
      <c r="T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18"/>
      <c r="K436" s="5"/>
      <c r="L436" s="5"/>
      <c r="M436" s="5"/>
      <c r="N436" s="5"/>
      <c r="O436" s="5"/>
      <c r="P436" s="5"/>
      <c r="Q436" s="5"/>
      <c r="R436" s="5"/>
      <c r="S436" s="5"/>
      <c r="T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18"/>
      <c r="K437" s="5"/>
      <c r="L437" s="5"/>
      <c r="M437" s="5"/>
      <c r="N437" s="5"/>
      <c r="O437" s="5"/>
      <c r="P437" s="5"/>
      <c r="Q437" s="5"/>
      <c r="R437" s="5"/>
      <c r="S437" s="5"/>
      <c r="T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18"/>
      <c r="K438" s="5"/>
      <c r="L438" s="5"/>
      <c r="M438" s="5"/>
      <c r="N438" s="5"/>
      <c r="O438" s="5"/>
      <c r="P438" s="5"/>
      <c r="Q438" s="5"/>
      <c r="R438" s="5"/>
      <c r="S438" s="5"/>
      <c r="T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18"/>
      <c r="K439" s="5"/>
      <c r="L439" s="5"/>
      <c r="M439" s="5"/>
      <c r="N439" s="5"/>
      <c r="O439" s="5"/>
      <c r="P439" s="5"/>
      <c r="Q439" s="5"/>
      <c r="R439" s="5"/>
      <c r="S439" s="5"/>
      <c r="T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18"/>
      <c r="K440" s="5"/>
      <c r="L440" s="5"/>
      <c r="M440" s="5"/>
      <c r="N440" s="5"/>
      <c r="O440" s="5"/>
      <c r="P440" s="5"/>
      <c r="Q440" s="5"/>
      <c r="R440" s="5"/>
      <c r="S440" s="5"/>
      <c r="T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18"/>
      <c r="K441" s="5"/>
      <c r="L441" s="5"/>
      <c r="M441" s="5"/>
      <c r="N441" s="5"/>
      <c r="O441" s="5"/>
      <c r="P441" s="5"/>
      <c r="Q441" s="5"/>
      <c r="R441" s="5"/>
      <c r="S441" s="5"/>
      <c r="T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18"/>
      <c r="K442" s="5"/>
      <c r="L442" s="5"/>
      <c r="M442" s="5"/>
      <c r="N442" s="5"/>
      <c r="O442" s="5"/>
      <c r="P442" s="5"/>
      <c r="Q442" s="5"/>
      <c r="R442" s="5"/>
      <c r="S442" s="5"/>
      <c r="T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18"/>
      <c r="K443" s="5"/>
      <c r="L443" s="5"/>
      <c r="M443" s="5"/>
      <c r="N443" s="5"/>
      <c r="O443" s="5"/>
      <c r="P443" s="5"/>
      <c r="Q443" s="5"/>
      <c r="R443" s="5"/>
      <c r="S443" s="5"/>
      <c r="T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18"/>
      <c r="K444" s="5"/>
      <c r="L444" s="5"/>
      <c r="M444" s="5"/>
      <c r="N444" s="5"/>
      <c r="O444" s="5"/>
      <c r="P444" s="5"/>
      <c r="Q444" s="5"/>
      <c r="R444" s="5"/>
      <c r="S444" s="5"/>
      <c r="T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18"/>
      <c r="K445" s="5"/>
      <c r="L445" s="5"/>
      <c r="M445" s="5"/>
      <c r="N445" s="5"/>
      <c r="O445" s="5"/>
      <c r="P445" s="5"/>
      <c r="Q445" s="5"/>
      <c r="R445" s="5"/>
      <c r="S445" s="5"/>
      <c r="T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18"/>
      <c r="K446" s="5"/>
      <c r="L446" s="5"/>
      <c r="M446" s="5"/>
      <c r="N446" s="5"/>
      <c r="O446" s="5"/>
      <c r="P446" s="5"/>
      <c r="Q446" s="5"/>
      <c r="R446" s="5"/>
      <c r="S446" s="5"/>
      <c r="T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18"/>
      <c r="K447" s="5"/>
      <c r="L447" s="5"/>
      <c r="M447" s="5"/>
      <c r="N447" s="5"/>
      <c r="O447" s="5"/>
      <c r="P447" s="5"/>
      <c r="Q447" s="5"/>
      <c r="R447" s="5"/>
      <c r="S447" s="5"/>
      <c r="T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18"/>
      <c r="K448" s="5"/>
      <c r="L448" s="5"/>
      <c r="M448" s="5"/>
      <c r="N448" s="5"/>
      <c r="O448" s="5"/>
      <c r="P448" s="5"/>
      <c r="Q448" s="5"/>
      <c r="R448" s="5"/>
      <c r="S448" s="5"/>
      <c r="T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18"/>
      <c r="K449" s="5"/>
      <c r="L449" s="5"/>
      <c r="M449" s="5"/>
      <c r="N449" s="5"/>
      <c r="O449" s="5"/>
      <c r="P449" s="5"/>
      <c r="Q449" s="5"/>
      <c r="R449" s="5"/>
      <c r="S449" s="5"/>
      <c r="T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18"/>
      <c r="K450" s="5"/>
      <c r="L450" s="5"/>
      <c r="M450" s="5"/>
      <c r="N450" s="5"/>
      <c r="O450" s="5"/>
      <c r="P450" s="5"/>
      <c r="Q450" s="5"/>
      <c r="R450" s="5"/>
      <c r="S450" s="5"/>
      <c r="T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18"/>
      <c r="K451" s="5"/>
      <c r="L451" s="5"/>
      <c r="M451" s="5"/>
      <c r="N451" s="5"/>
      <c r="O451" s="5"/>
      <c r="P451" s="5"/>
      <c r="Q451" s="5"/>
      <c r="R451" s="5"/>
      <c r="S451" s="5"/>
      <c r="T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18"/>
      <c r="K452" s="5"/>
      <c r="L452" s="5"/>
      <c r="M452" s="5"/>
      <c r="N452" s="5"/>
      <c r="O452" s="5"/>
      <c r="P452" s="5"/>
      <c r="Q452" s="5"/>
      <c r="R452" s="5"/>
      <c r="S452" s="5"/>
      <c r="T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18"/>
      <c r="K453" s="5"/>
      <c r="L453" s="5"/>
      <c r="M453" s="5"/>
      <c r="N453" s="5"/>
      <c r="O453" s="5"/>
      <c r="P453" s="5"/>
      <c r="Q453" s="5"/>
      <c r="R453" s="5"/>
      <c r="S453" s="5"/>
      <c r="T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18"/>
      <c r="K454" s="5"/>
      <c r="L454" s="5"/>
      <c r="M454" s="5"/>
      <c r="N454" s="5"/>
      <c r="O454" s="5"/>
      <c r="P454" s="5"/>
      <c r="Q454" s="5"/>
      <c r="R454" s="5"/>
      <c r="S454" s="5"/>
      <c r="T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18"/>
      <c r="K455" s="5"/>
      <c r="L455" s="5"/>
      <c r="M455" s="5"/>
      <c r="N455" s="5"/>
      <c r="O455" s="5"/>
      <c r="P455" s="5"/>
      <c r="Q455" s="5"/>
      <c r="R455" s="5"/>
      <c r="S455" s="5"/>
      <c r="T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18"/>
      <c r="K456" s="5"/>
      <c r="L456" s="5"/>
      <c r="M456" s="5"/>
      <c r="N456" s="5"/>
      <c r="O456" s="5"/>
      <c r="P456" s="5"/>
      <c r="Q456" s="5"/>
      <c r="R456" s="5"/>
      <c r="S456" s="5"/>
      <c r="T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18"/>
      <c r="K457" s="5"/>
      <c r="L457" s="5"/>
      <c r="M457" s="5"/>
      <c r="N457" s="5"/>
      <c r="O457" s="5"/>
      <c r="P457" s="5"/>
      <c r="Q457" s="5"/>
      <c r="R457" s="5"/>
      <c r="S457" s="5"/>
      <c r="T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18"/>
      <c r="K458" s="5"/>
      <c r="L458" s="5"/>
      <c r="M458" s="5"/>
      <c r="N458" s="5"/>
      <c r="O458" s="5"/>
      <c r="P458" s="5"/>
      <c r="Q458" s="5"/>
      <c r="R458" s="5"/>
      <c r="S458" s="5"/>
      <c r="T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18"/>
      <c r="K459" s="5"/>
      <c r="L459" s="5"/>
      <c r="M459" s="5"/>
      <c r="N459" s="5"/>
      <c r="O459" s="5"/>
      <c r="P459" s="5"/>
      <c r="Q459" s="5"/>
      <c r="R459" s="5"/>
      <c r="S459" s="5"/>
      <c r="T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18"/>
      <c r="K460" s="5"/>
      <c r="L460" s="5"/>
      <c r="M460" s="5"/>
      <c r="N460" s="5"/>
      <c r="O460" s="5"/>
      <c r="P460" s="5"/>
      <c r="Q460" s="5"/>
      <c r="R460" s="5"/>
      <c r="S460" s="5"/>
      <c r="T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18"/>
      <c r="K461" s="5"/>
      <c r="L461" s="5"/>
      <c r="M461" s="5"/>
      <c r="N461" s="5"/>
      <c r="O461" s="5"/>
      <c r="P461" s="5"/>
      <c r="Q461" s="5"/>
      <c r="R461" s="5"/>
      <c r="S461" s="5"/>
      <c r="T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18"/>
      <c r="K462" s="5"/>
      <c r="L462" s="5"/>
      <c r="M462" s="5"/>
      <c r="N462" s="5"/>
      <c r="O462" s="5"/>
      <c r="P462" s="5"/>
      <c r="Q462" s="5"/>
      <c r="R462" s="5"/>
      <c r="S462" s="5"/>
      <c r="T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18"/>
      <c r="K463" s="5"/>
      <c r="L463" s="5"/>
      <c r="M463" s="5"/>
      <c r="N463" s="5"/>
      <c r="O463" s="5"/>
      <c r="P463" s="5"/>
      <c r="Q463" s="5"/>
      <c r="R463" s="5"/>
      <c r="S463" s="5"/>
      <c r="T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18"/>
      <c r="K464" s="5"/>
      <c r="L464" s="5"/>
      <c r="M464" s="5"/>
      <c r="N464" s="5"/>
      <c r="O464" s="5"/>
      <c r="P464" s="5"/>
      <c r="Q464" s="5"/>
      <c r="R464" s="5"/>
      <c r="S464" s="5"/>
      <c r="T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18"/>
      <c r="K465" s="5"/>
      <c r="L465" s="5"/>
      <c r="M465" s="5"/>
      <c r="N465" s="5"/>
      <c r="O465" s="5"/>
      <c r="P465" s="5"/>
      <c r="Q465" s="5"/>
      <c r="R465" s="5"/>
      <c r="S465" s="5"/>
      <c r="T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18"/>
      <c r="K466" s="5"/>
      <c r="L466" s="5"/>
      <c r="M466" s="5"/>
      <c r="N466" s="5"/>
      <c r="O466" s="5"/>
      <c r="P466" s="5"/>
      <c r="Q466" s="5"/>
      <c r="R466" s="5"/>
      <c r="S466" s="5"/>
      <c r="T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18"/>
      <c r="K467" s="5"/>
      <c r="L467" s="5"/>
      <c r="M467" s="5"/>
      <c r="N467" s="5"/>
      <c r="O467" s="5"/>
      <c r="P467" s="5"/>
      <c r="Q467" s="5"/>
      <c r="R467" s="5"/>
      <c r="S467" s="5"/>
      <c r="T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18"/>
      <c r="K468" s="5"/>
      <c r="L468" s="5"/>
      <c r="M468" s="5"/>
      <c r="N468" s="5"/>
      <c r="O468" s="5"/>
      <c r="P468" s="5"/>
      <c r="Q468" s="5"/>
      <c r="R468" s="5"/>
      <c r="S468" s="5"/>
      <c r="T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18"/>
      <c r="K469" s="5"/>
      <c r="L469" s="5"/>
      <c r="M469" s="5"/>
      <c r="N469" s="5"/>
      <c r="O469" s="5"/>
      <c r="P469" s="5"/>
      <c r="Q469" s="5"/>
      <c r="R469" s="5"/>
      <c r="S469" s="5"/>
      <c r="T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18"/>
      <c r="K470" s="5"/>
      <c r="L470" s="5"/>
      <c r="M470" s="5"/>
      <c r="N470" s="5"/>
      <c r="O470" s="5"/>
      <c r="P470" s="5"/>
      <c r="Q470" s="5"/>
      <c r="R470" s="5"/>
      <c r="S470" s="5"/>
      <c r="T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18"/>
      <c r="K471" s="5"/>
      <c r="L471" s="5"/>
      <c r="M471" s="5"/>
      <c r="N471" s="5"/>
      <c r="O471" s="5"/>
      <c r="P471" s="5"/>
      <c r="Q471" s="5"/>
      <c r="R471" s="5"/>
      <c r="S471" s="5"/>
      <c r="T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18"/>
      <c r="K472" s="5"/>
      <c r="L472" s="5"/>
      <c r="M472" s="5"/>
      <c r="N472" s="5"/>
      <c r="O472" s="5"/>
      <c r="P472" s="5"/>
      <c r="Q472" s="5"/>
      <c r="R472" s="5"/>
      <c r="S472" s="5"/>
      <c r="T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18"/>
      <c r="K473" s="5"/>
      <c r="L473" s="5"/>
      <c r="M473" s="5"/>
      <c r="N473" s="5"/>
      <c r="O473" s="5"/>
      <c r="P473" s="5"/>
      <c r="Q473" s="5"/>
      <c r="R473" s="5"/>
      <c r="S473" s="5"/>
      <c r="T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18"/>
      <c r="K474" s="5"/>
      <c r="L474" s="5"/>
      <c r="M474" s="5"/>
      <c r="N474" s="5"/>
      <c r="O474" s="5"/>
      <c r="P474" s="5"/>
      <c r="Q474" s="5"/>
      <c r="R474" s="5"/>
      <c r="S474" s="5"/>
      <c r="T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18"/>
      <c r="K475" s="5"/>
      <c r="L475" s="5"/>
      <c r="M475" s="5"/>
      <c r="N475" s="5"/>
      <c r="O475" s="5"/>
      <c r="P475" s="5"/>
      <c r="Q475" s="5"/>
      <c r="R475" s="5"/>
      <c r="S475" s="5"/>
      <c r="T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18"/>
      <c r="K476" s="5"/>
      <c r="L476" s="5"/>
      <c r="M476" s="5"/>
      <c r="N476" s="5"/>
      <c r="O476" s="5"/>
      <c r="P476" s="5"/>
      <c r="Q476" s="5"/>
      <c r="R476" s="5"/>
      <c r="S476" s="5"/>
      <c r="T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18"/>
      <c r="K477" s="5"/>
      <c r="L477" s="5"/>
      <c r="M477" s="5"/>
      <c r="N477" s="5"/>
      <c r="O477" s="5"/>
      <c r="P477" s="5"/>
      <c r="Q477" s="5"/>
      <c r="R477" s="5"/>
      <c r="S477" s="5"/>
      <c r="T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18"/>
      <c r="K478" s="5"/>
      <c r="L478" s="5"/>
      <c r="M478" s="5"/>
      <c r="N478" s="5"/>
      <c r="O478" s="5"/>
      <c r="P478" s="5"/>
      <c r="Q478" s="5"/>
      <c r="R478" s="5"/>
      <c r="S478" s="5"/>
      <c r="T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18"/>
      <c r="K479" s="5"/>
      <c r="L479" s="5"/>
      <c r="M479" s="5"/>
      <c r="N479" s="5"/>
      <c r="O479" s="5"/>
      <c r="P479" s="5"/>
      <c r="Q479" s="5"/>
      <c r="R479" s="5"/>
      <c r="S479" s="5"/>
      <c r="T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18"/>
      <c r="K480" s="5"/>
      <c r="L480" s="5"/>
      <c r="M480" s="5"/>
      <c r="N480" s="5"/>
      <c r="O480" s="5"/>
      <c r="P480" s="5"/>
      <c r="Q480" s="5"/>
      <c r="R480" s="5"/>
      <c r="S480" s="5"/>
      <c r="T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18"/>
      <c r="K481" s="5"/>
      <c r="L481" s="5"/>
      <c r="M481" s="5"/>
      <c r="N481" s="5"/>
      <c r="O481" s="5"/>
      <c r="P481" s="5"/>
      <c r="Q481" s="5"/>
      <c r="R481" s="5"/>
      <c r="S481" s="5"/>
      <c r="T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18"/>
      <c r="K482" s="5"/>
      <c r="L482" s="5"/>
      <c r="M482" s="5"/>
      <c r="N482" s="5"/>
      <c r="O482" s="5"/>
      <c r="P482" s="5"/>
      <c r="Q482" s="5"/>
      <c r="R482" s="5"/>
      <c r="S482" s="5"/>
      <c r="T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18"/>
      <c r="K483" s="5"/>
      <c r="L483" s="5"/>
      <c r="M483" s="5"/>
      <c r="N483" s="5"/>
      <c r="O483" s="5"/>
      <c r="P483" s="5"/>
      <c r="Q483" s="5"/>
      <c r="R483" s="5"/>
      <c r="S483" s="5"/>
      <c r="T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18"/>
      <c r="K484" s="5"/>
      <c r="L484" s="5"/>
      <c r="M484" s="5"/>
      <c r="N484" s="5"/>
      <c r="O484" s="5"/>
      <c r="P484" s="5"/>
      <c r="Q484" s="5"/>
      <c r="R484" s="5"/>
      <c r="S484" s="5"/>
      <c r="T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18"/>
      <c r="K485" s="5"/>
      <c r="L485" s="5"/>
      <c r="M485" s="5"/>
      <c r="N485" s="5"/>
      <c r="O485" s="5"/>
      <c r="P485" s="5"/>
      <c r="Q485" s="5"/>
      <c r="R485" s="5"/>
      <c r="S485" s="5"/>
      <c r="T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18"/>
      <c r="K486" s="5"/>
      <c r="L486" s="5"/>
      <c r="M486" s="5"/>
      <c r="N486" s="5"/>
      <c r="O486" s="5"/>
      <c r="P486" s="5"/>
      <c r="Q486" s="5"/>
      <c r="R486" s="5"/>
      <c r="S486" s="5"/>
      <c r="T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18"/>
      <c r="K487" s="5"/>
      <c r="L487" s="5"/>
      <c r="M487" s="5"/>
      <c r="N487" s="5"/>
      <c r="O487" s="5"/>
      <c r="P487" s="5"/>
      <c r="Q487" s="5"/>
      <c r="R487" s="5"/>
      <c r="S487" s="5"/>
      <c r="T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18"/>
      <c r="K488" s="5"/>
      <c r="L488" s="5"/>
      <c r="M488" s="5"/>
      <c r="N488" s="5"/>
      <c r="O488" s="5"/>
      <c r="P488" s="5"/>
      <c r="Q488" s="5"/>
      <c r="R488" s="5"/>
      <c r="S488" s="5"/>
      <c r="T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18"/>
      <c r="K489" s="5"/>
      <c r="L489" s="5"/>
      <c r="M489" s="5"/>
      <c r="N489" s="5"/>
      <c r="O489" s="5"/>
      <c r="P489" s="5"/>
      <c r="Q489" s="5"/>
      <c r="R489" s="5"/>
      <c r="S489" s="5"/>
      <c r="T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18"/>
      <c r="K490" s="5"/>
      <c r="L490" s="5"/>
      <c r="M490" s="5"/>
      <c r="N490" s="5"/>
      <c r="O490" s="5"/>
      <c r="P490" s="5"/>
      <c r="Q490" s="5"/>
      <c r="R490" s="5"/>
      <c r="S490" s="5"/>
      <c r="T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18"/>
      <c r="K491" s="5"/>
      <c r="L491" s="5"/>
      <c r="M491" s="5"/>
      <c r="N491" s="5"/>
      <c r="O491" s="5"/>
      <c r="P491" s="5"/>
      <c r="Q491" s="5"/>
      <c r="R491" s="5"/>
      <c r="S491" s="5"/>
      <c r="T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18"/>
      <c r="K492" s="5"/>
      <c r="L492" s="5"/>
      <c r="M492" s="5"/>
      <c r="N492" s="5"/>
      <c r="O492" s="5"/>
      <c r="P492" s="5"/>
      <c r="Q492" s="5"/>
      <c r="R492" s="5"/>
      <c r="S492" s="5"/>
      <c r="T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18"/>
      <c r="K493" s="5"/>
      <c r="L493" s="5"/>
      <c r="M493" s="5"/>
      <c r="N493" s="5"/>
      <c r="O493" s="5"/>
      <c r="P493" s="5"/>
      <c r="Q493" s="5"/>
      <c r="R493" s="5"/>
      <c r="S493" s="5"/>
      <c r="T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18"/>
      <c r="K494" s="5"/>
      <c r="L494" s="5"/>
      <c r="M494" s="5"/>
      <c r="N494" s="5"/>
      <c r="O494" s="5"/>
      <c r="P494" s="5"/>
      <c r="Q494" s="5"/>
      <c r="R494" s="5"/>
      <c r="S494" s="5"/>
      <c r="T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18"/>
      <c r="K495" s="5"/>
      <c r="L495" s="5"/>
      <c r="M495" s="5"/>
      <c r="N495" s="5"/>
      <c r="O495" s="5"/>
      <c r="P495" s="5"/>
      <c r="Q495" s="5"/>
      <c r="R495" s="5"/>
      <c r="S495" s="5"/>
      <c r="T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18"/>
      <c r="K496" s="5"/>
      <c r="L496" s="5"/>
      <c r="M496" s="5"/>
      <c r="N496" s="5"/>
      <c r="O496" s="5"/>
      <c r="P496" s="5"/>
      <c r="Q496" s="5"/>
      <c r="R496" s="5"/>
      <c r="S496" s="5"/>
      <c r="T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18"/>
      <c r="K497" s="5"/>
      <c r="L497" s="5"/>
      <c r="M497" s="5"/>
      <c r="N497" s="5"/>
      <c r="O497" s="5"/>
      <c r="P497" s="5"/>
      <c r="Q497" s="5"/>
      <c r="R497" s="5"/>
      <c r="S497" s="5"/>
      <c r="T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18"/>
      <c r="K498" s="5"/>
      <c r="L498" s="5"/>
      <c r="M498" s="5"/>
      <c r="N498" s="5"/>
      <c r="O498" s="5"/>
      <c r="P498" s="5"/>
      <c r="Q498" s="5"/>
      <c r="R498" s="5"/>
      <c r="S498" s="5"/>
      <c r="T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18"/>
      <c r="K499" s="5"/>
      <c r="L499" s="5"/>
      <c r="M499" s="5"/>
      <c r="N499" s="5"/>
      <c r="O499" s="5"/>
      <c r="P499" s="5"/>
      <c r="Q499" s="5"/>
      <c r="R499" s="5"/>
      <c r="S499" s="5"/>
      <c r="T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18"/>
      <c r="K500" s="5"/>
      <c r="L500" s="5"/>
      <c r="M500" s="5"/>
      <c r="N500" s="5"/>
      <c r="O500" s="5"/>
      <c r="P500" s="5"/>
      <c r="Q500" s="5"/>
      <c r="R500" s="5"/>
      <c r="S500" s="5"/>
      <c r="T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18"/>
      <c r="K501" s="5"/>
      <c r="L501" s="5"/>
      <c r="M501" s="5"/>
      <c r="N501" s="5"/>
      <c r="O501" s="5"/>
      <c r="P501" s="5"/>
      <c r="Q501" s="5"/>
      <c r="R501" s="5"/>
      <c r="S501" s="5"/>
      <c r="T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18"/>
      <c r="K502" s="5"/>
      <c r="L502" s="5"/>
      <c r="M502" s="5"/>
      <c r="N502" s="5"/>
      <c r="O502" s="5"/>
      <c r="P502" s="5"/>
      <c r="Q502" s="5"/>
      <c r="R502" s="5"/>
      <c r="S502" s="5"/>
      <c r="T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18"/>
      <c r="K503" s="5"/>
      <c r="L503" s="5"/>
      <c r="M503" s="5"/>
      <c r="N503" s="5"/>
      <c r="O503" s="5"/>
      <c r="P503" s="5"/>
      <c r="Q503" s="5"/>
      <c r="R503" s="5"/>
      <c r="S503" s="5"/>
      <c r="T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18"/>
      <c r="K504" s="5"/>
      <c r="L504" s="5"/>
      <c r="M504" s="5"/>
      <c r="N504" s="5"/>
      <c r="O504" s="5"/>
      <c r="P504" s="5"/>
      <c r="Q504" s="5"/>
      <c r="R504" s="5"/>
      <c r="S504" s="5"/>
      <c r="T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18"/>
      <c r="K505" s="5"/>
      <c r="L505" s="5"/>
      <c r="M505" s="5"/>
      <c r="N505" s="5"/>
      <c r="O505" s="5"/>
      <c r="P505" s="5"/>
      <c r="Q505" s="5"/>
      <c r="R505" s="5"/>
      <c r="S505" s="5"/>
      <c r="T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18"/>
      <c r="K506" s="5"/>
      <c r="L506" s="5"/>
      <c r="M506" s="5"/>
      <c r="N506" s="5"/>
      <c r="O506" s="5"/>
      <c r="P506" s="5"/>
      <c r="Q506" s="5"/>
      <c r="R506" s="5"/>
      <c r="S506" s="5"/>
      <c r="T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18"/>
      <c r="K507" s="5"/>
      <c r="L507" s="5"/>
      <c r="M507" s="5"/>
      <c r="N507" s="5"/>
      <c r="O507" s="5"/>
      <c r="P507" s="5"/>
      <c r="Q507" s="5"/>
      <c r="R507" s="5"/>
      <c r="S507" s="5"/>
      <c r="T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18"/>
      <c r="K508" s="5"/>
      <c r="L508" s="5"/>
      <c r="M508" s="5"/>
      <c r="N508" s="5"/>
      <c r="O508" s="5"/>
      <c r="P508" s="5"/>
      <c r="Q508" s="5"/>
      <c r="R508" s="5"/>
      <c r="S508" s="5"/>
      <c r="T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18"/>
      <c r="K509" s="5"/>
      <c r="L509" s="5"/>
      <c r="M509" s="5"/>
      <c r="N509" s="5"/>
      <c r="O509" s="5"/>
      <c r="P509" s="5"/>
      <c r="Q509" s="5"/>
      <c r="R509" s="5"/>
      <c r="S509" s="5"/>
      <c r="T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18"/>
      <c r="K510" s="5"/>
      <c r="L510" s="5"/>
      <c r="M510" s="5"/>
      <c r="N510" s="5"/>
      <c r="O510" s="5"/>
      <c r="P510" s="5"/>
      <c r="Q510" s="5"/>
      <c r="R510" s="5"/>
      <c r="S510" s="5"/>
      <c r="T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18"/>
      <c r="K511" s="5"/>
      <c r="L511" s="5"/>
      <c r="M511" s="5"/>
      <c r="N511" s="5"/>
      <c r="O511" s="5"/>
      <c r="P511" s="5"/>
      <c r="Q511" s="5"/>
      <c r="R511" s="5"/>
      <c r="S511" s="5"/>
      <c r="T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18"/>
      <c r="K512" s="5"/>
      <c r="L512" s="5"/>
      <c r="M512" s="5"/>
      <c r="N512" s="5"/>
      <c r="O512" s="5"/>
      <c r="P512" s="5"/>
      <c r="Q512" s="5"/>
      <c r="R512" s="5"/>
      <c r="S512" s="5"/>
      <c r="T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18"/>
      <c r="K513" s="5"/>
      <c r="L513" s="5"/>
      <c r="M513" s="5"/>
      <c r="N513" s="5"/>
      <c r="O513" s="5"/>
      <c r="P513" s="5"/>
      <c r="Q513" s="5"/>
      <c r="R513" s="5"/>
      <c r="S513" s="5"/>
      <c r="T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18"/>
      <c r="K514" s="5"/>
      <c r="L514" s="5"/>
      <c r="M514" s="5"/>
      <c r="N514" s="5"/>
      <c r="O514" s="5"/>
      <c r="P514" s="5"/>
      <c r="Q514" s="5"/>
      <c r="R514" s="5"/>
      <c r="S514" s="5"/>
      <c r="T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18"/>
      <c r="K515" s="5"/>
      <c r="L515" s="5"/>
      <c r="M515" s="5"/>
      <c r="N515" s="5"/>
      <c r="O515" s="5"/>
      <c r="P515" s="5"/>
      <c r="Q515" s="5"/>
      <c r="R515" s="5"/>
      <c r="S515" s="5"/>
      <c r="T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18"/>
      <c r="K516" s="5"/>
      <c r="L516" s="5"/>
      <c r="M516" s="5"/>
      <c r="N516" s="5"/>
      <c r="O516" s="5"/>
      <c r="P516" s="5"/>
      <c r="Q516" s="5"/>
      <c r="R516" s="5"/>
      <c r="S516" s="5"/>
      <c r="T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18"/>
      <c r="K517" s="5"/>
      <c r="L517" s="5"/>
      <c r="M517" s="5"/>
      <c r="N517" s="5"/>
      <c r="O517" s="5"/>
      <c r="P517" s="5"/>
      <c r="Q517" s="5"/>
      <c r="R517" s="5"/>
      <c r="S517" s="5"/>
      <c r="T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18"/>
      <c r="K518" s="5"/>
      <c r="L518" s="5"/>
      <c r="M518" s="5"/>
      <c r="N518" s="5"/>
      <c r="O518" s="5"/>
      <c r="P518" s="5"/>
      <c r="Q518" s="5"/>
      <c r="R518" s="5"/>
      <c r="S518" s="5"/>
      <c r="T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18"/>
      <c r="K519" s="5"/>
      <c r="L519" s="5"/>
      <c r="M519" s="5"/>
      <c r="N519" s="5"/>
      <c r="O519" s="5"/>
      <c r="P519" s="5"/>
      <c r="Q519" s="5"/>
      <c r="R519" s="5"/>
      <c r="S519" s="5"/>
      <c r="T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18"/>
      <c r="K520" s="5"/>
      <c r="L520" s="5"/>
      <c r="M520" s="5"/>
      <c r="N520" s="5"/>
      <c r="O520" s="5"/>
      <c r="P520" s="5"/>
      <c r="Q520" s="5"/>
      <c r="R520" s="5"/>
      <c r="S520" s="5"/>
      <c r="T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18"/>
      <c r="K521" s="5"/>
      <c r="L521" s="5"/>
      <c r="M521" s="5"/>
      <c r="N521" s="5"/>
      <c r="O521" s="5"/>
      <c r="P521" s="5"/>
      <c r="Q521" s="5"/>
      <c r="R521" s="5"/>
      <c r="S521" s="5"/>
      <c r="T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18"/>
      <c r="K522" s="5"/>
      <c r="L522" s="5"/>
      <c r="M522" s="5"/>
      <c r="N522" s="5"/>
      <c r="O522" s="5"/>
      <c r="P522" s="5"/>
      <c r="Q522" s="5"/>
      <c r="R522" s="5"/>
      <c r="S522" s="5"/>
      <c r="T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18"/>
      <c r="K523" s="5"/>
      <c r="L523" s="5"/>
      <c r="M523" s="5"/>
      <c r="N523" s="5"/>
      <c r="O523" s="5"/>
      <c r="P523" s="5"/>
      <c r="Q523" s="5"/>
      <c r="R523" s="5"/>
      <c r="S523" s="5"/>
      <c r="T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18"/>
      <c r="K524" s="5"/>
      <c r="L524" s="5"/>
      <c r="M524" s="5"/>
      <c r="N524" s="5"/>
      <c r="O524" s="5"/>
      <c r="P524" s="5"/>
      <c r="Q524" s="5"/>
      <c r="R524" s="5"/>
      <c r="S524" s="5"/>
      <c r="T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18"/>
      <c r="K525" s="5"/>
      <c r="L525" s="5"/>
      <c r="M525" s="5"/>
      <c r="N525" s="5"/>
      <c r="O525" s="5"/>
      <c r="P525" s="5"/>
      <c r="Q525" s="5"/>
      <c r="R525" s="5"/>
      <c r="S525" s="5"/>
      <c r="T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18"/>
      <c r="K526" s="5"/>
      <c r="L526" s="5"/>
      <c r="M526" s="5"/>
      <c r="N526" s="5"/>
      <c r="O526" s="5"/>
      <c r="P526" s="5"/>
      <c r="Q526" s="5"/>
      <c r="R526" s="5"/>
      <c r="S526" s="5"/>
      <c r="T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18"/>
      <c r="K527" s="5"/>
      <c r="L527" s="5"/>
      <c r="M527" s="5"/>
      <c r="N527" s="5"/>
      <c r="O527" s="5"/>
      <c r="P527" s="5"/>
      <c r="Q527" s="5"/>
      <c r="R527" s="5"/>
      <c r="S527" s="5"/>
      <c r="T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18"/>
      <c r="K528" s="5"/>
      <c r="L528" s="5"/>
      <c r="M528" s="5"/>
      <c r="N528" s="5"/>
      <c r="O528" s="5"/>
      <c r="P528" s="5"/>
      <c r="Q528" s="5"/>
      <c r="R528" s="5"/>
      <c r="S528" s="5"/>
      <c r="T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18"/>
      <c r="K529" s="5"/>
      <c r="L529" s="5"/>
      <c r="M529" s="5"/>
      <c r="N529" s="5"/>
      <c r="O529" s="5"/>
      <c r="P529" s="5"/>
      <c r="Q529" s="5"/>
      <c r="R529" s="5"/>
      <c r="S529" s="5"/>
      <c r="T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18"/>
      <c r="K530" s="5"/>
      <c r="L530" s="5"/>
      <c r="M530" s="5"/>
      <c r="N530" s="5"/>
      <c r="O530" s="5"/>
      <c r="P530" s="5"/>
      <c r="Q530" s="5"/>
      <c r="R530" s="5"/>
      <c r="S530" s="5"/>
      <c r="T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18"/>
      <c r="K531" s="5"/>
      <c r="L531" s="5"/>
      <c r="M531" s="5"/>
      <c r="N531" s="5"/>
      <c r="O531" s="5"/>
      <c r="P531" s="5"/>
      <c r="Q531" s="5"/>
      <c r="R531" s="5"/>
      <c r="S531" s="5"/>
      <c r="T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18"/>
      <c r="K532" s="5"/>
      <c r="L532" s="5"/>
      <c r="M532" s="5"/>
      <c r="N532" s="5"/>
      <c r="O532" s="5"/>
      <c r="P532" s="5"/>
      <c r="Q532" s="5"/>
      <c r="R532" s="5"/>
      <c r="S532" s="5"/>
      <c r="T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18"/>
      <c r="K533" s="5"/>
      <c r="L533" s="5"/>
      <c r="M533" s="5"/>
      <c r="N533" s="5"/>
      <c r="O533" s="5"/>
      <c r="P533" s="5"/>
      <c r="Q533" s="5"/>
      <c r="R533" s="5"/>
      <c r="S533" s="5"/>
      <c r="T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18"/>
      <c r="K534" s="5"/>
      <c r="L534" s="5"/>
      <c r="M534" s="5"/>
      <c r="N534" s="5"/>
      <c r="O534" s="5"/>
      <c r="P534" s="5"/>
      <c r="Q534" s="5"/>
      <c r="R534" s="5"/>
      <c r="S534" s="5"/>
      <c r="T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18"/>
      <c r="K535" s="5"/>
      <c r="L535" s="5"/>
      <c r="M535" s="5"/>
      <c r="N535" s="5"/>
      <c r="O535" s="5"/>
      <c r="P535" s="5"/>
      <c r="Q535" s="5"/>
      <c r="R535" s="5"/>
      <c r="S535" s="5"/>
      <c r="T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18"/>
      <c r="K536" s="5"/>
      <c r="L536" s="5"/>
      <c r="M536" s="5"/>
      <c r="N536" s="5"/>
      <c r="O536" s="5"/>
      <c r="P536" s="5"/>
      <c r="Q536" s="5"/>
      <c r="R536" s="5"/>
      <c r="S536" s="5"/>
      <c r="T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18"/>
      <c r="K537" s="5"/>
      <c r="L537" s="5"/>
      <c r="M537" s="5"/>
      <c r="N537" s="5"/>
      <c r="O537" s="5"/>
      <c r="P537" s="5"/>
      <c r="Q537" s="5"/>
      <c r="R537" s="5"/>
      <c r="S537" s="5"/>
      <c r="T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18"/>
      <c r="K538" s="5"/>
      <c r="L538" s="5"/>
      <c r="M538" s="5"/>
      <c r="N538" s="5"/>
      <c r="O538" s="5"/>
      <c r="P538" s="5"/>
      <c r="Q538" s="5"/>
      <c r="R538" s="5"/>
      <c r="S538" s="5"/>
      <c r="T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18"/>
      <c r="K539" s="5"/>
      <c r="L539" s="5"/>
      <c r="M539" s="5"/>
      <c r="N539" s="5"/>
      <c r="O539" s="5"/>
      <c r="P539" s="5"/>
      <c r="Q539" s="5"/>
      <c r="R539" s="5"/>
      <c r="S539" s="5"/>
      <c r="T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18"/>
      <c r="K540" s="5"/>
      <c r="L540" s="5"/>
      <c r="M540" s="5"/>
      <c r="N540" s="5"/>
      <c r="O540" s="5"/>
      <c r="P540" s="5"/>
      <c r="Q540" s="5"/>
      <c r="R540" s="5"/>
      <c r="S540" s="5"/>
      <c r="T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18"/>
      <c r="K541" s="5"/>
      <c r="L541" s="5"/>
      <c r="M541" s="5"/>
      <c r="N541" s="5"/>
      <c r="O541" s="5"/>
      <c r="P541" s="5"/>
      <c r="Q541" s="5"/>
      <c r="R541" s="5"/>
      <c r="S541" s="5"/>
      <c r="T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18"/>
      <c r="K542" s="5"/>
      <c r="L542" s="5"/>
      <c r="M542" s="5"/>
      <c r="N542" s="5"/>
      <c r="O542" s="5"/>
      <c r="P542" s="5"/>
      <c r="Q542" s="5"/>
      <c r="R542" s="5"/>
      <c r="S542" s="5"/>
      <c r="T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18"/>
      <c r="K543" s="5"/>
      <c r="L543" s="5"/>
      <c r="M543" s="5"/>
      <c r="N543" s="5"/>
      <c r="O543" s="5"/>
      <c r="P543" s="5"/>
      <c r="Q543" s="5"/>
      <c r="R543" s="5"/>
      <c r="S543" s="5"/>
      <c r="T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18"/>
      <c r="K544" s="5"/>
      <c r="L544" s="5"/>
      <c r="M544" s="5"/>
      <c r="N544" s="5"/>
      <c r="O544" s="5"/>
      <c r="P544" s="5"/>
      <c r="Q544" s="5"/>
      <c r="R544" s="5"/>
      <c r="S544" s="5"/>
      <c r="T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18"/>
      <c r="K545" s="5"/>
      <c r="L545" s="5"/>
      <c r="M545" s="5"/>
      <c r="N545" s="5"/>
      <c r="O545" s="5"/>
      <c r="P545" s="5"/>
      <c r="Q545" s="5"/>
      <c r="R545" s="5"/>
      <c r="S545" s="5"/>
      <c r="T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18"/>
      <c r="K546" s="5"/>
      <c r="L546" s="5"/>
      <c r="M546" s="5"/>
      <c r="N546" s="5"/>
      <c r="O546" s="5"/>
      <c r="P546" s="5"/>
      <c r="Q546" s="5"/>
      <c r="R546" s="5"/>
      <c r="S546" s="5"/>
      <c r="T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18"/>
      <c r="K547" s="5"/>
      <c r="L547" s="5"/>
      <c r="M547" s="5"/>
      <c r="N547" s="5"/>
      <c r="O547" s="5"/>
      <c r="P547" s="5"/>
      <c r="Q547" s="5"/>
      <c r="R547" s="5"/>
      <c r="S547" s="5"/>
      <c r="T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18"/>
      <c r="K548" s="5"/>
      <c r="L548" s="5"/>
      <c r="M548" s="5"/>
      <c r="N548" s="5"/>
      <c r="O548" s="5"/>
      <c r="P548" s="5"/>
      <c r="Q548" s="5"/>
      <c r="R548" s="5"/>
      <c r="S548" s="5"/>
      <c r="T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18"/>
      <c r="K549" s="5"/>
      <c r="L549" s="5"/>
      <c r="M549" s="5"/>
      <c r="N549" s="5"/>
      <c r="O549" s="5"/>
      <c r="P549" s="5"/>
      <c r="Q549" s="5"/>
      <c r="R549" s="5"/>
      <c r="S549" s="5"/>
      <c r="T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18"/>
      <c r="K550" s="5"/>
      <c r="L550" s="5"/>
      <c r="M550" s="5"/>
      <c r="N550" s="5"/>
      <c r="O550" s="5"/>
      <c r="P550" s="5"/>
      <c r="Q550" s="5"/>
      <c r="R550" s="5"/>
      <c r="S550" s="5"/>
      <c r="T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18"/>
      <c r="K551" s="5"/>
      <c r="L551" s="5"/>
      <c r="M551" s="5"/>
      <c r="N551" s="5"/>
      <c r="O551" s="5"/>
      <c r="P551" s="5"/>
      <c r="Q551" s="5"/>
      <c r="R551" s="5"/>
      <c r="S551" s="5"/>
      <c r="T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18"/>
      <c r="K552" s="5"/>
      <c r="L552" s="5"/>
      <c r="M552" s="5"/>
      <c r="N552" s="5"/>
      <c r="O552" s="5"/>
      <c r="P552" s="5"/>
      <c r="Q552" s="5"/>
      <c r="R552" s="5"/>
      <c r="S552" s="5"/>
      <c r="T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18"/>
      <c r="K553" s="5"/>
      <c r="L553" s="5"/>
      <c r="M553" s="5"/>
      <c r="N553" s="5"/>
      <c r="O553" s="5"/>
      <c r="P553" s="5"/>
      <c r="Q553" s="5"/>
      <c r="R553" s="5"/>
      <c r="S553" s="5"/>
      <c r="T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18"/>
      <c r="K554" s="5"/>
      <c r="L554" s="5"/>
      <c r="M554" s="5"/>
      <c r="N554" s="5"/>
      <c r="O554" s="5"/>
      <c r="P554" s="5"/>
      <c r="Q554" s="5"/>
      <c r="R554" s="5"/>
      <c r="S554" s="5"/>
      <c r="T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18"/>
      <c r="K555" s="5"/>
      <c r="L555" s="5"/>
      <c r="M555" s="5"/>
      <c r="N555" s="5"/>
      <c r="O555" s="5"/>
      <c r="P555" s="5"/>
      <c r="Q555" s="5"/>
      <c r="R555" s="5"/>
      <c r="S555" s="5"/>
      <c r="T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18"/>
      <c r="K556" s="5"/>
      <c r="L556" s="5"/>
      <c r="M556" s="5"/>
      <c r="N556" s="5"/>
      <c r="O556" s="5"/>
      <c r="P556" s="5"/>
      <c r="Q556" s="5"/>
      <c r="R556" s="5"/>
      <c r="S556" s="5"/>
      <c r="T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18"/>
      <c r="K557" s="5"/>
      <c r="L557" s="5"/>
      <c r="M557" s="5"/>
      <c r="N557" s="5"/>
      <c r="O557" s="5"/>
      <c r="P557" s="5"/>
      <c r="Q557" s="5"/>
      <c r="R557" s="5"/>
      <c r="S557" s="5"/>
      <c r="T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18"/>
      <c r="K558" s="5"/>
      <c r="L558" s="5"/>
      <c r="M558" s="5"/>
      <c r="N558" s="5"/>
      <c r="O558" s="5"/>
      <c r="P558" s="5"/>
      <c r="Q558" s="5"/>
      <c r="R558" s="5"/>
      <c r="S558" s="5"/>
      <c r="T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18"/>
      <c r="K559" s="5"/>
      <c r="L559" s="5"/>
      <c r="M559" s="5"/>
      <c r="N559" s="5"/>
      <c r="O559" s="5"/>
      <c r="P559" s="5"/>
      <c r="Q559" s="5"/>
      <c r="R559" s="5"/>
      <c r="S559" s="5"/>
      <c r="T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18"/>
      <c r="K560" s="5"/>
      <c r="L560" s="5"/>
      <c r="M560" s="5"/>
      <c r="N560" s="5"/>
      <c r="O560" s="5"/>
      <c r="P560" s="5"/>
      <c r="Q560" s="5"/>
      <c r="R560" s="5"/>
      <c r="S560" s="5"/>
      <c r="T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18"/>
      <c r="K561" s="5"/>
      <c r="L561" s="5"/>
      <c r="M561" s="5"/>
      <c r="N561" s="5"/>
      <c r="O561" s="5"/>
      <c r="P561" s="5"/>
      <c r="Q561" s="5"/>
      <c r="R561" s="5"/>
      <c r="S561" s="5"/>
      <c r="T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18"/>
      <c r="K562" s="5"/>
      <c r="L562" s="5"/>
      <c r="M562" s="5"/>
      <c r="N562" s="5"/>
      <c r="O562" s="5"/>
      <c r="P562" s="5"/>
      <c r="Q562" s="5"/>
      <c r="R562" s="5"/>
      <c r="S562" s="5"/>
      <c r="T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18"/>
      <c r="K563" s="5"/>
      <c r="L563" s="5"/>
      <c r="M563" s="5"/>
      <c r="N563" s="5"/>
      <c r="O563" s="5"/>
      <c r="P563" s="5"/>
      <c r="Q563" s="5"/>
      <c r="R563" s="5"/>
      <c r="S563" s="5"/>
      <c r="T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18"/>
      <c r="K564" s="5"/>
      <c r="L564" s="5"/>
      <c r="M564" s="5"/>
      <c r="N564" s="5"/>
      <c r="O564" s="5"/>
      <c r="P564" s="5"/>
      <c r="Q564" s="5"/>
      <c r="R564" s="5"/>
      <c r="S564" s="5"/>
      <c r="T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18"/>
      <c r="K565" s="5"/>
      <c r="L565" s="5"/>
      <c r="M565" s="5"/>
      <c r="N565" s="5"/>
      <c r="O565" s="5"/>
      <c r="P565" s="5"/>
      <c r="Q565" s="5"/>
      <c r="R565" s="5"/>
      <c r="S565" s="5"/>
      <c r="T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18"/>
      <c r="K566" s="5"/>
      <c r="L566" s="5"/>
      <c r="M566" s="5"/>
      <c r="N566" s="5"/>
      <c r="O566" s="5"/>
      <c r="P566" s="5"/>
      <c r="Q566" s="5"/>
      <c r="R566" s="5"/>
      <c r="S566" s="5"/>
      <c r="T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18"/>
      <c r="K567" s="5"/>
      <c r="L567" s="5"/>
      <c r="M567" s="5"/>
      <c r="N567" s="5"/>
      <c r="O567" s="5"/>
      <c r="P567" s="5"/>
      <c r="Q567" s="5"/>
      <c r="R567" s="5"/>
      <c r="S567" s="5"/>
      <c r="T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18"/>
      <c r="K568" s="5"/>
      <c r="L568" s="5"/>
      <c r="M568" s="5"/>
      <c r="N568" s="5"/>
      <c r="O568" s="5"/>
      <c r="P568" s="5"/>
      <c r="Q568" s="5"/>
      <c r="R568" s="5"/>
      <c r="S568" s="5"/>
      <c r="T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18"/>
      <c r="K569" s="5"/>
      <c r="L569" s="5"/>
      <c r="M569" s="5"/>
      <c r="N569" s="5"/>
      <c r="O569" s="5"/>
      <c r="P569" s="5"/>
      <c r="Q569" s="5"/>
      <c r="R569" s="5"/>
      <c r="S569" s="5"/>
      <c r="T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18"/>
      <c r="K570" s="5"/>
      <c r="L570" s="5"/>
      <c r="M570" s="5"/>
      <c r="N570" s="5"/>
      <c r="O570" s="5"/>
      <c r="P570" s="5"/>
      <c r="Q570" s="5"/>
      <c r="R570" s="5"/>
      <c r="S570" s="5"/>
      <c r="T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18"/>
      <c r="K571" s="5"/>
      <c r="L571" s="5"/>
      <c r="M571" s="5"/>
      <c r="N571" s="5"/>
      <c r="O571" s="5"/>
      <c r="P571" s="5"/>
      <c r="Q571" s="5"/>
      <c r="R571" s="5"/>
      <c r="S571" s="5"/>
      <c r="T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18"/>
      <c r="K572" s="5"/>
      <c r="L572" s="5"/>
      <c r="M572" s="5"/>
      <c r="N572" s="5"/>
      <c r="O572" s="5"/>
      <c r="P572" s="5"/>
      <c r="Q572" s="5"/>
      <c r="R572" s="5"/>
      <c r="S572" s="5"/>
      <c r="T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18"/>
      <c r="K573" s="5"/>
      <c r="L573" s="5"/>
      <c r="M573" s="5"/>
      <c r="N573" s="5"/>
      <c r="O573" s="5"/>
      <c r="P573" s="5"/>
      <c r="Q573" s="5"/>
      <c r="R573" s="5"/>
      <c r="S573" s="5"/>
      <c r="T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18"/>
      <c r="K574" s="5"/>
      <c r="L574" s="5"/>
      <c r="M574" s="5"/>
      <c r="N574" s="5"/>
      <c r="O574" s="5"/>
      <c r="P574" s="5"/>
      <c r="Q574" s="5"/>
      <c r="R574" s="5"/>
      <c r="S574" s="5"/>
      <c r="T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18"/>
      <c r="K575" s="5"/>
      <c r="L575" s="5"/>
      <c r="M575" s="5"/>
      <c r="N575" s="5"/>
      <c r="O575" s="5"/>
      <c r="P575" s="5"/>
      <c r="Q575" s="5"/>
      <c r="R575" s="5"/>
      <c r="S575" s="5"/>
      <c r="T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18"/>
      <c r="K576" s="5"/>
      <c r="L576" s="5"/>
      <c r="M576" s="5"/>
      <c r="N576" s="5"/>
      <c r="O576" s="5"/>
      <c r="P576" s="5"/>
      <c r="Q576" s="5"/>
      <c r="R576" s="5"/>
      <c r="S576" s="5"/>
      <c r="T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18"/>
      <c r="K577" s="5"/>
      <c r="L577" s="5"/>
      <c r="M577" s="5"/>
      <c r="N577" s="5"/>
      <c r="O577" s="5"/>
      <c r="P577" s="5"/>
      <c r="Q577" s="5"/>
      <c r="R577" s="5"/>
      <c r="S577" s="5"/>
      <c r="T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18"/>
      <c r="K578" s="5"/>
      <c r="L578" s="5"/>
      <c r="M578" s="5"/>
      <c r="N578" s="5"/>
      <c r="O578" s="5"/>
      <c r="P578" s="5"/>
      <c r="Q578" s="5"/>
      <c r="R578" s="5"/>
      <c r="S578" s="5"/>
      <c r="T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18"/>
      <c r="K579" s="5"/>
      <c r="L579" s="5"/>
      <c r="M579" s="5"/>
      <c r="N579" s="5"/>
      <c r="O579" s="5"/>
      <c r="P579" s="5"/>
      <c r="Q579" s="5"/>
      <c r="R579" s="5"/>
      <c r="S579" s="5"/>
      <c r="T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18"/>
      <c r="K580" s="5"/>
      <c r="L580" s="5"/>
      <c r="M580" s="5"/>
      <c r="N580" s="5"/>
      <c r="O580" s="5"/>
      <c r="P580" s="5"/>
      <c r="Q580" s="5"/>
      <c r="R580" s="5"/>
      <c r="S580" s="5"/>
      <c r="T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18"/>
      <c r="K581" s="5"/>
      <c r="L581" s="5"/>
      <c r="M581" s="5"/>
      <c r="N581" s="5"/>
      <c r="O581" s="5"/>
      <c r="P581" s="5"/>
      <c r="Q581" s="5"/>
      <c r="R581" s="5"/>
      <c r="S581" s="5"/>
      <c r="T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18"/>
      <c r="K582" s="5"/>
      <c r="L582" s="5"/>
      <c r="M582" s="5"/>
      <c r="N582" s="5"/>
      <c r="O582" s="5"/>
      <c r="P582" s="5"/>
      <c r="Q582" s="5"/>
      <c r="R582" s="5"/>
      <c r="S582" s="5"/>
      <c r="T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18"/>
      <c r="K583" s="5"/>
      <c r="L583" s="5"/>
      <c r="M583" s="5"/>
      <c r="N583" s="5"/>
      <c r="O583" s="5"/>
      <c r="P583" s="5"/>
      <c r="Q583" s="5"/>
      <c r="R583" s="5"/>
      <c r="S583" s="5"/>
      <c r="T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18"/>
      <c r="K584" s="5"/>
      <c r="L584" s="5"/>
      <c r="M584" s="5"/>
      <c r="N584" s="5"/>
      <c r="O584" s="5"/>
      <c r="P584" s="5"/>
      <c r="Q584" s="5"/>
      <c r="R584" s="5"/>
      <c r="S584" s="5"/>
      <c r="T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18"/>
      <c r="K585" s="5"/>
      <c r="L585" s="5"/>
      <c r="M585" s="5"/>
      <c r="N585" s="5"/>
      <c r="O585" s="5"/>
      <c r="P585" s="5"/>
      <c r="Q585" s="5"/>
      <c r="R585" s="5"/>
      <c r="S585" s="5"/>
      <c r="T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18"/>
      <c r="K586" s="5"/>
      <c r="L586" s="5"/>
      <c r="M586" s="5"/>
      <c r="N586" s="5"/>
      <c r="O586" s="5"/>
      <c r="P586" s="5"/>
      <c r="Q586" s="5"/>
      <c r="R586" s="5"/>
      <c r="S586" s="5"/>
      <c r="T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18"/>
      <c r="K587" s="5"/>
      <c r="L587" s="5"/>
      <c r="M587" s="5"/>
      <c r="N587" s="5"/>
      <c r="O587" s="5"/>
      <c r="P587" s="5"/>
      <c r="Q587" s="5"/>
      <c r="R587" s="5"/>
      <c r="S587" s="5"/>
      <c r="T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18"/>
      <c r="K588" s="5"/>
      <c r="L588" s="5"/>
      <c r="M588" s="5"/>
      <c r="N588" s="5"/>
      <c r="O588" s="5"/>
      <c r="P588" s="5"/>
      <c r="Q588" s="5"/>
      <c r="R588" s="5"/>
      <c r="S588" s="5"/>
      <c r="T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18"/>
      <c r="K589" s="5"/>
      <c r="L589" s="5"/>
      <c r="M589" s="5"/>
      <c r="N589" s="5"/>
      <c r="O589" s="5"/>
      <c r="P589" s="5"/>
      <c r="Q589" s="5"/>
      <c r="R589" s="5"/>
      <c r="S589" s="5"/>
      <c r="T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18"/>
      <c r="K590" s="5"/>
      <c r="L590" s="5"/>
      <c r="M590" s="5"/>
      <c r="N590" s="5"/>
      <c r="O590" s="5"/>
      <c r="P590" s="5"/>
      <c r="Q590" s="5"/>
      <c r="R590" s="5"/>
      <c r="S590" s="5"/>
      <c r="T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18"/>
      <c r="K591" s="5"/>
      <c r="L591" s="5"/>
      <c r="M591" s="5"/>
      <c r="N591" s="5"/>
      <c r="O591" s="5"/>
      <c r="P591" s="5"/>
      <c r="Q591" s="5"/>
      <c r="R591" s="5"/>
      <c r="S591" s="5"/>
      <c r="T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18"/>
      <c r="K592" s="5"/>
      <c r="L592" s="5"/>
      <c r="M592" s="5"/>
      <c r="N592" s="5"/>
      <c r="O592" s="5"/>
      <c r="P592" s="5"/>
      <c r="Q592" s="5"/>
      <c r="R592" s="5"/>
      <c r="S592" s="5"/>
      <c r="T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18"/>
      <c r="K593" s="5"/>
      <c r="L593" s="5"/>
      <c r="M593" s="5"/>
      <c r="N593" s="5"/>
      <c r="O593" s="5"/>
      <c r="P593" s="5"/>
      <c r="Q593" s="5"/>
      <c r="R593" s="5"/>
      <c r="S593" s="5"/>
      <c r="T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18"/>
      <c r="K594" s="5"/>
      <c r="L594" s="5"/>
      <c r="M594" s="5"/>
      <c r="N594" s="5"/>
      <c r="O594" s="5"/>
      <c r="P594" s="5"/>
      <c r="Q594" s="5"/>
      <c r="R594" s="5"/>
      <c r="S594" s="5"/>
      <c r="T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18"/>
      <c r="K595" s="5"/>
      <c r="L595" s="5"/>
      <c r="M595" s="5"/>
      <c r="N595" s="5"/>
      <c r="O595" s="5"/>
      <c r="P595" s="5"/>
      <c r="Q595" s="5"/>
      <c r="R595" s="5"/>
      <c r="S595" s="5"/>
      <c r="T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18"/>
      <c r="K596" s="5"/>
      <c r="L596" s="5"/>
      <c r="M596" s="5"/>
      <c r="N596" s="5"/>
      <c r="O596" s="5"/>
      <c r="P596" s="5"/>
      <c r="Q596" s="5"/>
      <c r="R596" s="5"/>
      <c r="S596" s="5"/>
      <c r="T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18"/>
      <c r="K597" s="5"/>
      <c r="L597" s="5"/>
      <c r="M597" s="5"/>
      <c r="N597" s="5"/>
      <c r="O597" s="5"/>
      <c r="P597" s="5"/>
      <c r="Q597" s="5"/>
      <c r="R597" s="5"/>
      <c r="S597" s="5"/>
      <c r="T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18"/>
      <c r="K598" s="5"/>
      <c r="L598" s="5"/>
      <c r="M598" s="5"/>
      <c r="N598" s="5"/>
      <c r="O598" s="5"/>
      <c r="P598" s="5"/>
      <c r="Q598" s="5"/>
      <c r="R598" s="5"/>
      <c r="S598" s="5"/>
      <c r="T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18"/>
      <c r="K599" s="5"/>
      <c r="L599" s="5"/>
      <c r="M599" s="5"/>
      <c r="N599" s="5"/>
      <c r="O599" s="5"/>
      <c r="P599" s="5"/>
      <c r="Q599" s="5"/>
      <c r="R599" s="5"/>
      <c r="S599" s="5"/>
      <c r="T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18"/>
      <c r="K600" s="5"/>
      <c r="L600" s="5"/>
      <c r="M600" s="5"/>
      <c r="N600" s="5"/>
      <c r="O600" s="5"/>
      <c r="P600" s="5"/>
      <c r="Q600" s="5"/>
      <c r="R600" s="5"/>
      <c r="S600" s="5"/>
      <c r="T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18"/>
      <c r="K601" s="5"/>
      <c r="L601" s="5"/>
      <c r="M601" s="5"/>
      <c r="N601" s="5"/>
      <c r="O601" s="5"/>
      <c r="P601" s="5"/>
      <c r="Q601" s="5"/>
      <c r="R601" s="5"/>
      <c r="S601" s="5"/>
      <c r="T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18"/>
      <c r="K602" s="5"/>
      <c r="L602" s="5"/>
      <c r="M602" s="5"/>
      <c r="N602" s="5"/>
      <c r="O602" s="5"/>
      <c r="P602" s="5"/>
      <c r="Q602" s="5"/>
      <c r="R602" s="5"/>
      <c r="S602" s="5"/>
      <c r="T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18"/>
      <c r="K603" s="5"/>
      <c r="L603" s="5"/>
      <c r="M603" s="5"/>
      <c r="N603" s="5"/>
      <c r="O603" s="5"/>
      <c r="P603" s="5"/>
      <c r="Q603" s="5"/>
      <c r="R603" s="5"/>
      <c r="S603" s="5"/>
      <c r="T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18"/>
      <c r="K604" s="5"/>
      <c r="L604" s="5"/>
      <c r="M604" s="5"/>
      <c r="N604" s="5"/>
      <c r="O604" s="5"/>
      <c r="P604" s="5"/>
      <c r="Q604" s="5"/>
      <c r="R604" s="5"/>
      <c r="S604" s="5"/>
      <c r="T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18"/>
      <c r="K605" s="5"/>
      <c r="L605" s="5"/>
      <c r="M605" s="5"/>
      <c r="N605" s="5"/>
      <c r="O605" s="5"/>
      <c r="P605" s="5"/>
      <c r="Q605" s="5"/>
      <c r="R605" s="5"/>
      <c r="S605" s="5"/>
      <c r="T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18"/>
      <c r="K606" s="5"/>
      <c r="L606" s="5"/>
      <c r="M606" s="5"/>
      <c r="N606" s="5"/>
      <c r="O606" s="5"/>
      <c r="P606" s="5"/>
      <c r="Q606" s="5"/>
      <c r="R606" s="5"/>
      <c r="S606" s="5"/>
      <c r="T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18"/>
      <c r="K607" s="5"/>
      <c r="L607" s="5"/>
      <c r="M607" s="5"/>
      <c r="N607" s="5"/>
      <c r="O607" s="5"/>
      <c r="P607" s="5"/>
      <c r="Q607" s="5"/>
      <c r="R607" s="5"/>
      <c r="S607" s="5"/>
      <c r="T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18"/>
      <c r="K608" s="5"/>
      <c r="L608" s="5"/>
      <c r="M608" s="5"/>
      <c r="N608" s="5"/>
      <c r="O608" s="5"/>
      <c r="P608" s="5"/>
      <c r="Q608" s="5"/>
      <c r="R608" s="5"/>
      <c r="S608" s="5"/>
      <c r="T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18"/>
      <c r="K609" s="5"/>
      <c r="L609" s="5"/>
      <c r="M609" s="5"/>
      <c r="N609" s="5"/>
      <c r="O609" s="5"/>
      <c r="P609" s="5"/>
      <c r="Q609" s="5"/>
      <c r="R609" s="5"/>
      <c r="S609" s="5"/>
      <c r="T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18"/>
      <c r="K610" s="5"/>
      <c r="L610" s="5"/>
      <c r="M610" s="5"/>
      <c r="N610" s="5"/>
      <c r="O610" s="5"/>
      <c r="P610" s="5"/>
      <c r="Q610" s="5"/>
      <c r="R610" s="5"/>
      <c r="S610" s="5"/>
      <c r="T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18"/>
      <c r="K611" s="5"/>
      <c r="L611" s="5"/>
      <c r="M611" s="5"/>
      <c r="N611" s="5"/>
      <c r="O611" s="5"/>
      <c r="P611" s="5"/>
      <c r="Q611" s="5"/>
      <c r="R611" s="5"/>
      <c r="S611" s="5"/>
      <c r="T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18"/>
      <c r="K612" s="5"/>
      <c r="L612" s="5"/>
      <c r="M612" s="5"/>
      <c r="N612" s="5"/>
      <c r="O612" s="5"/>
      <c r="P612" s="5"/>
      <c r="Q612" s="5"/>
      <c r="R612" s="5"/>
      <c r="S612" s="5"/>
      <c r="T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18"/>
      <c r="K613" s="5"/>
      <c r="L613" s="5"/>
      <c r="M613" s="5"/>
      <c r="N613" s="5"/>
      <c r="O613" s="5"/>
      <c r="P613" s="5"/>
      <c r="Q613" s="5"/>
      <c r="R613" s="5"/>
      <c r="S613" s="5"/>
      <c r="T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18"/>
      <c r="K614" s="5"/>
      <c r="L614" s="5"/>
      <c r="M614" s="5"/>
      <c r="N614" s="5"/>
      <c r="O614" s="5"/>
      <c r="P614" s="5"/>
      <c r="Q614" s="5"/>
      <c r="R614" s="5"/>
      <c r="S614" s="5"/>
      <c r="T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18"/>
      <c r="K615" s="5"/>
      <c r="L615" s="5"/>
      <c r="M615" s="5"/>
      <c r="N615" s="5"/>
      <c r="O615" s="5"/>
      <c r="P615" s="5"/>
      <c r="Q615" s="5"/>
      <c r="R615" s="5"/>
      <c r="S615" s="5"/>
      <c r="T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18"/>
      <c r="K616" s="5"/>
      <c r="L616" s="5"/>
      <c r="M616" s="5"/>
      <c r="N616" s="5"/>
      <c r="O616" s="5"/>
      <c r="P616" s="5"/>
      <c r="Q616" s="5"/>
      <c r="R616" s="5"/>
      <c r="S616" s="5"/>
      <c r="T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18"/>
      <c r="K617" s="5"/>
      <c r="L617" s="5"/>
      <c r="M617" s="5"/>
      <c r="N617" s="5"/>
      <c r="O617" s="5"/>
      <c r="P617" s="5"/>
      <c r="Q617" s="5"/>
      <c r="R617" s="5"/>
      <c r="S617" s="5"/>
      <c r="T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18"/>
      <c r="K618" s="5"/>
      <c r="L618" s="5"/>
      <c r="M618" s="5"/>
      <c r="N618" s="5"/>
      <c r="O618" s="5"/>
      <c r="P618" s="5"/>
      <c r="Q618" s="5"/>
      <c r="R618" s="5"/>
      <c r="S618" s="5"/>
      <c r="T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18"/>
      <c r="K619" s="5"/>
      <c r="L619" s="5"/>
      <c r="M619" s="5"/>
      <c r="N619" s="5"/>
      <c r="O619" s="5"/>
      <c r="P619" s="5"/>
      <c r="Q619" s="5"/>
      <c r="R619" s="5"/>
      <c r="S619" s="5"/>
      <c r="T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18"/>
      <c r="K620" s="5"/>
      <c r="L620" s="5"/>
      <c r="M620" s="5"/>
      <c r="N620" s="5"/>
      <c r="O620" s="5"/>
      <c r="P620" s="5"/>
      <c r="Q620" s="5"/>
      <c r="R620" s="5"/>
      <c r="S620" s="5"/>
      <c r="T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18"/>
      <c r="K621" s="5"/>
      <c r="L621" s="5"/>
      <c r="M621" s="5"/>
      <c r="N621" s="5"/>
      <c r="O621" s="5"/>
      <c r="P621" s="5"/>
      <c r="Q621" s="5"/>
      <c r="R621" s="5"/>
      <c r="S621" s="5"/>
      <c r="T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18"/>
      <c r="K622" s="5"/>
      <c r="L622" s="5"/>
      <c r="M622" s="5"/>
      <c r="N622" s="5"/>
      <c r="O622" s="5"/>
      <c r="P622" s="5"/>
      <c r="Q622" s="5"/>
      <c r="R622" s="5"/>
      <c r="S622" s="5"/>
      <c r="T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18"/>
      <c r="K623" s="5"/>
      <c r="L623" s="5"/>
      <c r="M623" s="5"/>
      <c r="N623" s="5"/>
      <c r="O623" s="5"/>
      <c r="P623" s="5"/>
      <c r="Q623" s="5"/>
      <c r="R623" s="5"/>
      <c r="S623" s="5"/>
      <c r="T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18"/>
      <c r="K624" s="5"/>
      <c r="L624" s="5"/>
      <c r="M624" s="5"/>
      <c r="N624" s="5"/>
      <c r="O624" s="5"/>
      <c r="P624" s="5"/>
      <c r="Q624" s="5"/>
      <c r="R624" s="5"/>
      <c r="S624" s="5"/>
      <c r="T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18"/>
      <c r="K625" s="5"/>
      <c r="L625" s="5"/>
      <c r="M625" s="5"/>
      <c r="N625" s="5"/>
      <c r="O625" s="5"/>
      <c r="P625" s="5"/>
      <c r="Q625" s="5"/>
      <c r="R625" s="5"/>
      <c r="S625" s="5"/>
      <c r="T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18"/>
      <c r="K626" s="5"/>
      <c r="L626" s="5"/>
      <c r="M626" s="5"/>
      <c r="N626" s="5"/>
      <c r="O626" s="5"/>
      <c r="P626" s="5"/>
      <c r="Q626" s="5"/>
      <c r="R626" s="5"/>
      <c r="S626" s="5"/>
      <c r="T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18"/>
      <c r="K627" s="5"/>
      <c r="L627" s="5"/>
      <c r="M627" s="5"/>
      <c r="N627" s="5"/>
      <c r="O627" s="5"/>
      <c r="P627" s="5"/>
      <c r="Q627" s="5"/>
      <c r="R627" s="5"/>
      <c r="S627" s="5"/>
      <c r="T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18"/>
      <c r="K628" s="5"/>
      <c r="L628" s="5"/>
      <c r="M628" s="5"/>
      <c r="N628" s="5"/>
      <c r="O628" s="5"/>
      <c r="P628" s="5"/>
      <c r="Q628" s="5"/>
      <c r="R628" s="5"/>
      <c r="S628" s="5"/>
      <c r="T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18"/>
      <c r="K629" s="5"/>
      <c r="L629" s="5"/>
      <c r="M629" s="5"/>
      <c r="N629" s="5"/>
      <c r="O629" s="5"/>
      <c r="P629" s="5"/>
      <c r="Q629" s="5"/>
      <c r="R629" s="5"/>
      <c r="S629" s="5"/>
      <c r="T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18"/>
      <c r="K630" s="5"/>
      <c r="L630" s="5"/>
      <c r="M630" s="5"/>
      <c r="N630" s="5"/>
      <c r="O630" s="5"/>
      <c r="P630" s="5"/>
      <c r="Q630" s="5"/>
      <c r="R630" s="5"/>
      <c r="S630" s="5"/>
      <c r="T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18"/>
      <c r="K631" s="5"/>
      <c r="L631" s="5"/>
      <c r="M631" s="5"/>
      <c r="N631" s="5"/>
      <c r="O631" s="5"/>
      <c r="P631" s="5"/>
      <c r="Q631" s="5"/>
      <c r="R631" s="5"/>
      <c r="S631" s="5"/>
      <c r="T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18"/>
      <c r="K632" s="5"/>
      <c r="L632" s="5"/>
      <c r="M632" s="5"/>
      <c r="N632" s="5"/>
      <c r="O632" s="5"/>
      <c r="P632" s="5"/>
      <c r="Q632" s="5"/>
      <c r="R632" s="5"/>
      <c r="S632" s="5"/>
      <c r="T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18"/>
      <c r="K633" s="5"/>
      <c r="L633" s="5"/>
      <c r="M633" s="5"/>
      <c r="N633" s="5"/>
      <c r="O633" s="5"/>
      <c r="P633" s="5"/>
      <c r="Q633" s="5"/>
      <c r="R633" s="5"/>
      <c r="S633" s="5"/>
      <c r="T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18"/>
      <c r="K634" s="5"/>
      <c r="L634" s="5"/>
      <c r="M634" s="5"/>
      <c r="N634" s="5"/>
      <c r="O634" s="5"/>
      <c r="P634" s="5"/>
      <c r="Q634" s="5"/>
      <c r="R634" s="5"/>
      <c r="S634" s="5"/>
      <c r="T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18"/>
      <c r="K635" s="5"/>
      <c r="L635" s="5"/>
      <c r="M635" s="5"/>
      <c r="N635" s="5"/>
      <c r="O635" s="5"/>
      <c r="P635" s="5"/>
      <c r="Q635" s="5"/>
      <c r="R635" s="5"/>
      <c r="S635" s="5"/>
      <c r="T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18"/>
      <c r="K636" s="5"/>
      <c r="L636" s="5"/>
      <c r="M636" s="5"/>
      <c r="N636" s="5"/>
      <c r="O636" s="5"/>
      <c r="P636" s="5"/>
      <c r="Q636" s="5"/>
      <c r="R636" s="5"/>
      <c r="S636" s="5"/>
      <c r="T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18"/>
      <c r="K637" s="5"/>
      <c r="L637" s="5"/>
      <c r="M637" s="5"/>
      <c r="N637" s="5"/>
      <c r="O637" s="5"/>
      <c r="P637" s="5"/>
      <c r="Q637" s="5"/>
      <c r="R637" s="5"/>
      <c r="S637" s="5"/>
      <c r="T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18"/>
      <c r="K638" s="5"/>
      <c r="L638" s="5"/>
      <c r="M638" s="5"/>
      <c r="N638" s="5"/>
      <c r="O638" s="5"/>
      <c r="P638" s="5"/>
      <c r="Q638" s="5"/>
      <c r="R638" s="5"/>
      <c r="S638" s="5"/>
      <c r="T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18"/>
      <c r="K639" s="5"/>
      <c r="L639" s="5"/>
      <c r="M639" s="5"/>
      <c r="N639" s="5"/>
      <c r="O639" s="5"/>
      <c r="P639" s="5"/>
      <c r="Q639" s="5"/>
      <c r="R639" s="5"/>
      <c r="S639" s="5"/>
      <c r="T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18"/>
      <c r="K640" s="5"/>
      <c r="L640" s="5"/>
      <c r="M640" s="5"/>
      <c r="N640" s="5"/>
      <c r="O640" s="5"/>
      <c r="P640" s="5"/>
      <c r="Q640" s="5"/>
      <c r="R640" s="5"/>
      <c r="S640" s="5"/>
      <c r="T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18"/>
      <c r="K641" s="5"/>
      <c r="L641" s="5"/>
      <c r="M641" s="5"/>
      <c r="N641" s="5"/>
      <c r="O641" s="5"/>
      <c r="P641" s="5"/>
      <c r="Q641" s="5"/>
      <c r="R641" s="5"/>
      <c r="S641" s="5"/>
      <c r="T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18"/>
      <c r="K642" s="5"/>
      <c r="L642" s="5"/>
      <c r="M642" s="5"/>
      <c r="N642" s="5"/>
      <c r="O642" s="5"/>
      <c r="P642" s="5"/>
      <c r="Q642" s="5"/>
      <c r="R642" s="5"/>
      <c r="S642" s="5"/>
      <c r="T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18"/>
      <c r="K643" s="5"/>
      <c r="L643" s="5"/>
      <c r="M643" s="5"/>
      <c r="N643" s="5"/>
      <c r="O643" s="5"/>
      <c r="P643" s="5"/>
      <c r="Q643" s="5"/>
      <c r="R643" s="5"/>
      <c r="S643" s="5"/>
      <c r="T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18"/>
      <c r="K644" s="5"/>
      <c r="L644" s="5"/>
      <c r="M644" s="5"/>
      <c r="N644" s="5"/>
      <c r="O644" s="5"/>
      <c r="P644" s="5"/>
      <c r="Q644" s="5"/>
      <c r="R644" s="5"/>
      <c r="S644" s="5"/>
      <c r="T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18"/>
      <c r="K645" s="5"/>
      <c r="L645" s="5"/>
      <c r="M645" s="5"/>
      <c r="N645" s="5"/>
      <c r="O645" s="5"/>
      <c r="P645" s="5"/>
      <c r="Q645" s="5"/>
      <c r="R645" s="5"/>
      <c r="S645" s="5"/>
      <c r="T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18"/>
      <c r="K646" s="5"/>
      <c r="L646" s="5"/>
      <c r="M646" s="5"/>
      <c r="N646" s="5"/>
      <c r="O646" s="5"/>
      <c r="P646" s="5"/>
      <c r="Q646" s="5"/>
      <c r="R646" s="5"/>
      <c r="S646" s="5"/>
      <c r="T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18"/>
      <c r="K647" s="5"/>
      <c r="L647" s="5"/>
      <c r="M647" s="5"/>
      <c r="N647" s="5"/>
      <c r="O647" s="5"/>
      <c r="P647" s="5"/>
      <c r="Q647" s="5"/>
      <c r="R647" s="5"/>
      <c r="S647" s="5"/>
      <c r="T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18"/>
      <c r="K648" s="5"/>
      <c r="L648" s="5"/>
      <c r="M648" s="5"/>
      <c r="N648" s="5"/>
      <c r="O648" s="5"/>
      <c r="P648" s="5"/>
      <c r="Q648" s="5"/>
      <c r="R648" s="5"/>
      <c r="S648" s="5"/>
      <c r="T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18"/>
      <c r="K649" s="5"/>
      <c r="L649" s="5"/>
      <c r="M649" s="5"/>
      <c r="N649" s="5"/>
      <c r="O649" s="5"/>
      <c r="P649" s="5"/>
      <c r="Q649" s="5"/>
      <c r="R649" s="5"/>
      <c r="S649" s="5"/>
      <c r="T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18"/>
      <c r="K650" s="5"/>
      <c r="L650" s="5"/>
      <c r="M650" s="5"/>
      <c r="N650" s="5"/>
      <c r="O650" s="5"/>
      <c r="P650" s="5"/>
      <c r="Q650" s="5"/>
      <c r="R650" s="5"/>
      <c r="S650" s="5"/>
      <c r="T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18"/>
      <c r="K651" s="5"/>
      <c r="L651" s="5"/>
      <c r="M651" s="5"/>
      <c r="N651" s="5"/>
      <c r="O651" s="5"/>
      <c r="P651" s="5"/>
      <c r="Q651" s="5"/>
      <c r="R651" s="5"/>
      <c r="S651" s="5"/>
      <c r="T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18"/>
      <c r="K652" s="5"/>
      <c r="L652" s="5"/>
      <c r="M652" s="5"/>
      <c r="N652" s="5"/>
      <c r="O652" s="5"/>
      <c r="P652" s="5"/>
      <c r="Q652" s="5"/>
      <c r="R652" s="5"/>
      <c r="S652" s="5"/>
      <c r="T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18"/>
      <c r="K653" s="5"/>
      <c r="L653" s="5"/>
      <c r="M653" s="5"/>
      <c r="N653" s="5"/>
      <c r="O653" s="5"/>
      <c r="P653" s="5"/>
      <c r="Q653" s="5"/>
      <c r="R653" s="5"/>
      <c r="S653" s="5"/>
      <c r="T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18"/>
      <c r="K654" s="5"/>
      <c r="L654" s="5"/>
      <c r="M654" s="5"/>
      <c r="N654" s="5"/>
      <c r="O654" s="5"/>
      <c r="P654" s="5"/>
      <c r="Q654" s="5"/>
      <c r="R654" s="5"/>
      <c r="S654" s="5"/>
      <c r="T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18"/>
      <c r="K655" s="5"/>
      <c r="L655" s="5"/>
      <c r="M655" s="5"/>
      <c r="N655" s="5"/>
      <c r="O655" s="5"/>
      <c r="P655" s="5"/>
      <c r="Q655" s="5"/>
      <c r="R655" s="5"/>
      <c r="S655" s="5"/>
      <c r="T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18"/>
      <c r="K656" s="5"/>
      <c r="L656" s="5"/>
      <c r="M656" s="5"/>
      <c r="N656" s="5"/>
      <c r="O656" s="5"/>
      <c r="P656" s="5"/>
      <c r="Q656" s="5"/>
      <c r="R656" s="5"/>
      <c r="S656" s="5"/>
      <c r="T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18"/>
      <c r="K657" s="5"/>
      <c r="L657" s="5"/>
      <c r="M657" s="5"/>
      <c r="N657" s="5"/>
      <c r="O657" s="5"/>
      <c r="P657" s="5"/>
      <c r="Q657" s="5"/>
      <c r="R657" s="5"/>
      <c r="S657" s="5"/>
      <c r="T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18"/>
      <c r="K658" s="5"/>
      <c r="L658" s="5"/>
      <c r="M658" s="5"/>
      <c r="N658" s="5"/>
      <c r="O658" s="5"/>
      <c r="P658" s="5"/>
      <c r="Q658" s="5"/>
      <c r="R658" s="5"/>
      <c r="S658" s="5"/>
      <c r="T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18"/>
      <c r="K659" s="5"/>
      <c r="L659" s="5"/>
      <c r="M659" s="5"/>
      <c r="N659" s="5"/>
      <c r="O659" s="5"/>
      <c r="P659" s="5"/>
      <c r="Q659" s="5"/>
      <c r="R659" s="5"/>
      <c r="S659" s="5"/>
      <c r="T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18"/>
      <c r="K660" s="5"/>
      <c r="L660" s="5"/>
      <c r="M660" s="5"/>
      <c r="N660" s="5"/>
      <c r="O660" s="5"/>
      <c r="P660" s="5"/>
      <c r="Q660" s="5"/>
      <c r="R660" s="5"/>
      <c r="S660" s="5"/>
      <c r="T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18"/>
      <c r="K661" s="5"/>
      <c r="L661" s="5"/>
      <c r="M661" s="5"/>
      <c r="N661" s="5"/>
      <c r="O661" s="5"/>
      <c r="P661" s="5"/>
      <c r="Q661" s="5"/>
      <c r="R661" s="5"/>
      <c r="S661" s="5"/>
      <c r="T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18"/>
      <c r="K662" s="5"/>
      <c r="L662" s="5"/>
      <c r="M662" s="5"/>
      <c r="N662" s="5"/>
      <c r="O662" s="5"/>
      <c r="P662" s="5"/>
      <c r="Q662" s="5"/>
      <c r="R662" s="5"/>
      <c r="S662" s="5"/>
      <c r="T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18"/>
      <c r="K663" s="5"/>
      <c r="L663" s="5"/>
      <c r="M663" s="5"/>
      <c r="N663" s="5"/>
      <c r="O663" s="5"/>
      <c r="P663" s="5"/>
      <c r="Q663" s="5"/>
      <c r="R663" s="5"/>
      <c r="S663" s="5"/>
      <c r="T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18"/>
      <c r="K664" s="5"/>
      <c r="L664" s="5"/>
      <c r="M664" s="5"/>
      <c r="N664" s="5"/>
      <c r="O664" s="5"/>
      <c r="P664" s="5"/>
      <c r="Q664" s="5"/>
      <c r="R664" s="5"/>
      <c r="S664" s="5"/>
      <c r="T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18"/>
      <c r="K665" s="5"/>
      <c r="L665" s="5"/>
      <c r="M665" s="5"/>
      <c r="N665" s="5"/>
      <c r="O665" s="5"/>
      <c r="P665" s="5"/>
      <c r="Q665" s="5"/>
      <c r="R665" s="5"/>
      <c r="S665" s="5"/>
      <c r="T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18"/>
      <c r="K666" s="5"/>
      <c r="L666" s="5"/>
      <c r="M666" s="5"/>
      <c r="N666" s="5"/>
      <c r="O666" s="5"/>
      <c r="P666" s="5"/>
      <c r="Q666" s="5"/>
      <c r="R666" s="5"/>
      <c r="S666" s="5"/>
      <c r="T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18"/>
      <c r="K667" s="5"/>
      <c r="L667" s="5"/>
      <c r="M667" s="5"/>
      <c r="N667" s="5"/>
      <c r="O667" s="5"/>
      <c r="P667" s="5"/>
      <c r="Q667" s="5"/>
      <c r="R667" s="5"/>
      <c r="S667" s="5"/>
      <c r="T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18"/>
      <c r="K668" s="5"/>
      <c r="L668" s="5"/>
      <c r="M668" s="5"/>
      <c r="N668" s="5"/>
      <c r="O668" s="5"/>
      <c r="P668" s="5"/>
      <c r="Q668" s="5"/>
      <c r="R668" s="5"/>
      <c r="S668" s="5"/>
      <c r="T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18"/>
      <c r="K669" s="5"/>
      <c r="L669" s="5"/>
      <c r="M669" s="5"/>
      <c r="N669" s="5"/>
      <c r="O669" s="5"/>
      <c r="P669" s="5"/>
      <c r="Q669" s="5"/>
      <c r="R669" s="5"/>
      <c r="S669" s="5"/>
      <c r="T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18"/>
      <c r="K670" s="5"/>
      <c r="L670" s="5"/>
      <c r="M670" s="5"/>
      <c r="N670" s="5"/>
      <c r="O670" s="5"/>
      <c r="P670" s="5"/>
      <c r="Q670" s="5"/>
      <c r="R670" s="5"/>
      <c r="S670" s="5"/>
      <c r="T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18"/>
      <c r="K671" s="5"/>
      <c r="L671" s="5"/>
      <c r="M671" s="5"/>
      <c r="N671" s="5"/>
      <c r="O671" s="5"/>
      <c r="P671" s="5"/>
      <c r="Q671" s="5"/>
      <c r="R671" s="5"/>
      <c r="S671" s="5"/>
      <c r="T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18"/>
      <c r="K672" s="5"/>
      <c r="L672" s="5"/>
      <c r="M672" s="5"/>
      <c r="N672" s="5"/>
      <c r="O672" s="5"/>
      <c r="P672" s="5"/>
      <c r="Q672" s="5"/>
      <c r="R672" s="5"/>
      <c r="S672" s="5"/>
      <c r="T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18"/>
      <c r="K673" s="5"/>
      <c r="L673" s="5"/>
      <c r="M673" s="5"/>
      <c r="N673" s="5"/>
      <c r="O673" s="5"/>
      <c r="P673" s="5"/>
      <c r="Q673" s="5"/>
      <c r="R673" s="5"/>
      <c r="S673" s="5"/>
      <c r="T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18"/>
      <c r="K674" s="5"/>
      <c r="L674" s="5"/>
      <c r="M674" s="5"/>
      <c r="N674" s="5"/>
      <c r="O674" s="5"/>
      <c r="P674" s="5"/>
      <c r="Q674" s="5"/>
      <c r="R674" s="5"/>
      <c r="S674" s="5"/>
      <c r="T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18"/>
      <c r="K675" s="5"/>
      <c r="L675" s="5"/>
      <c r="M675" s="5"/>
      <c r="N675" s="5"/>
      <c r="O675" s="5"/>
      <c r="P675" s="5"/>
      <c r="Q675" s="5"/>
      <c r="R675" s="5"/>
      <c r="S675" s="5"/>
      <c r="T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18"/>
      <c r="K676" s="5"/>
      <c r="L676" s="5"/>
      <c r="M676" s="5"/>
      <c r="N676" s="5"/>
      <c r="O676" s="5"/>
      <c r="P676" s="5"/>
      <c r="Q676" s="5"/>
      <c r="R676" s="5"/>
      <c r="S676" s="5"/>
      <c r="T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18"/>
      <c r="K677" s="5"/>
      <c r="L677" s="5"/>
      <c r="M677" s="5"/>
      <c r="N677" s="5"/>
      <c r="O677" s="5"/>
      <c r="P677" s="5"/>
      <c r="Q677" s="5"/>
      <c r="R677" s="5"/>
      <c r="S677" s="5"/>
      <c r="T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18"/>
      <c r="K678" s="5"/>
      <c r="L678" s="5"/>
      <c r="M678" s="5"/>
      <c r="N678" s="5"/>
      <c r="O678" s="5"/>
      <c r="P678" s="5"/>
      <c r="Q678" s="5"/>
      <c r="R678" s="5"/>
      <c r="S678" s="5"/>
      <c r="T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18"/>
      <c r="K679" s="5"/>
      <c r="L679" s="5"/>
      <c r="M679" s="5"/>
      <c r="N679" s="5"/>
      <c r="O679" s="5"/>
      <c r="P679" s="5"/>
      <c r="Q679" s="5"/>
      <c r="R679" s="5"/>
      <c r="S679" s="5"/>
      <c r="T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18"/>
      <c r="K680" s="5"/>
      <c r="L680" s="5"/>
      <c r="M680" s="5"/>
      <c r="N680" s="5"/>
      <c r="O680" s="5"/>
      <c r="P680" s="5"/>
      <c r="Q680" s="5"/>
      <c r="R680" s="5"/>
      <c r="S680" s="5"/>
      <c r="T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18"/>
      <c r="K681" s="5"/>
      <c r="L681" s="5"/>
      <c r="M681" s="5"/>
      <c r="N681" s="5"/>
      <c r="O681" s="5"/>
      <c r="P681" s="5"/>
      <c r="Q681" s="5"/>
      <c r="R681" s="5"/>
      <c r="S681" s="5"/>
      <c r="T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18"/>
      <c r="K682" s="5"/>
      <c r="L682" s="5"/>
      <c r="M682" s="5"/>
      <c r="N682" s="5"/>
      <c r="O682" s="5"/>
      <c r="P682" s="5"/>
      <c r="Q682" s="5"/>
      <c r="R682" s="5"/>
      <c r="S682" s="5"/>
      <c r="T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18"/>
      <c r="K683" s="5"/>
      <c r="L683" s="5"/>
      <c r="M683" s="5"/>
      <c r="N683" s="5"/>
      <c r="O683" s="5"/>
      <c r="P683" s="5"/>
      <c r="Q683" s="5"/>
      <c r="R683" s="5"/>
      <c r="S683" s="5"/>
      <c r="T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18"/>
      <c r="K684" s="5"/>
      <c r="L684" s="5"/>
      <c r="M684" s="5"/>
      <c r="N684" s="5"/>
      <c r="O684" s="5"/>
      <c r="P684" s="5"/>
      <c r="Q684" s="5"/>
      <c r="R684" s="5"/>
      <c r="S684" s="5"/>
      <c r="T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18"/>
      <c r="K685" s="5"/>
      <c r="L685" s="5"/>
      <c r="M685" s="5"/>
      <c r="N685" s="5"/>
      <c r="O685" s="5"/>
      <c r="P685" s="5"/>
      <c r="Q685" s="5"/>
      <c r="R685" s="5"/>
      <c r="S685" s="5"/>
      <c r="T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18"/>
      <c r="K686" s="5"/>
      <c r="L686" s="5"/>
      <c r="M686" s="5"/>
      <c r="N686" s="5"/>
      <c r="O686" s="5"/>
      <c r="P686" s="5"/>
      <c r="Q686" s="5"/>
      <c r="R686" s="5"/>
      <c r="S686" s="5"/>
      <c r="T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18"/>
      <c r="K687" s="5"/>
      <c r="L687" s="5"/>
      <c r="M687" s="5"/>
      <c r="N687" s="5"/>
      <c r="O687" s="5"/>
      <c r="P687" s="5"/>
      <c r="Q687" s="5"/>
      <c r="R687" s="5"/>
      <c r="S687" s="5"/>
      <c r="T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18"/>
      <c r="K688" s="5"/>
      <c r="L688" s="5"/>
      <c r="M688" s="5"/>
      <c r="N688" s="5"/>
      <c r="O688" s="5"/>
      <c r="P688" s="5"/>
      <c r="Q688" s="5"/>
      <c r="R688" s="5"/>
      <c r="S688" s="5"/>
      <c r="T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18"/>
      <c r="K689" s="5"/>
      <c r="L689" s="5"/>
      <c r="M689" s="5"/>
      <c r="N689" s="5"/>
      <c r="O689" s="5"/>
      <c r="P689" s="5"/>
      <c r="Q689" s="5"/>
      <c r="R689" s="5"/>
      <c r="S689" s="5"/>
      <c r="T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18"/>
      <c r="K690" s="5"/>
      <c r="L690" s="5"/>
      <c r="M690" s="5"/>
      <c r="N690" s="5"/>
      <c r="O690" s="5"/>
      <c r="P690" s="5"/>
      <c r="Q690" s="5"/>
      <c r="R690" s="5"/>
      <c r="S690" s="5"/>
      <c r="T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18"/>
      <c r="K691" s="5"/>
      <c r="L691" s="5"/>
      <c r="M691" s="5"/>
      <c r="N691" s="5"/>
      <c r="O691" s="5"/>
      <c r="P691" s="5"/>
      <c r="Q691" s="5"/>
      <c r="R691" s="5"/>
      <c r="S691" s="5"/>
      <c r="T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18"/>
      <c r="K692" s="5"/>
      <c r="L692" s="5"/>
      <c r="M692" s="5"/>
      <c r="N692" s="5"/>
      <c r="O692" s="5"/>
      <c r="P692" s="5"/>
      <c r="Q692" s="5"/>
      <c r="R692" s="5"/>
      <c r="S692" s="5"/>
      <c r="T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18"/>
      <c r="K693" s="5"/>
      <c r="L693" s="5"/>
      <c r="M693" s="5"/>
      <c r="N693" s="5"/>
      <c r="O693" s="5"/>
      <c r="P693" s="5"/>
      <c r="Q693" s="5"/>
      <c r="R693" s="5"/>
      <c r="S693" s="5"/>
      <c r="T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18"/>
      <c r="K694" s="5"/>
      <c r="L694" s="5"/>
      <c r="M694" s="5"/>
      <c r="N694" s="5"/>
      <c r="O694" s="5"/>
      <c r="P694" s="5"/>
      <c r="Q694" s="5"/>
      <c r="R694" s="5"/>
      <c r="S694" s="5"/>
      <c r="T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18"/>
      <c r="K695" s="5"/>
      <c r="L695" s="5"/>
      <c r="M695" s="5"/>
      <c r="N695" s="5"/>
      <c r="O695" s="5"/>
      <c r="P695" s="5"/>
      <c r="Q695" s="5"/>
      <c r="R695" s="5"/>
      <c r="S695" s="5"/>
      <c r="T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18"/>
      <c r="K696" s="5"/>
      <c r="L696" s="5"/>
      <c r="M696" s="5"/>
      <c r="N696" s="5"/>
      <c r="O696" s="5"/>
      <c r="P696" s="5"/>
      <c r="Q696" s="5"/>
      <c r="R696" s="5"/>
      <c r="S696" s="5"/>
      <c r="T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18"/>
      <c r="K697" s="5"/>
      <c r="L697" s="5"/>
      <c r="M697" s="5"/>
      <c r="N697" s="5"/>
      <c r="O697" s="5"/>
      <c r="P697" s="5"/>
      <c r="Q697" s="5"/>
      <c r="R697" s="5"/>
      <c r="S697" s="5"/>
      <c r="T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18"/>
      <c r="K698" s="5"/>
      <c r="L698" s="5"/>
      <c r="M698" s="5"/>
      <c r="N698" s="5"/>
      <c r="O698" s="5"/>
      <c r="P698" s="5"/>
      <c r="Q698" s="5"/>
      <c r="R698" s="5"/>
      <c r="S698" s="5"/>
      <c r="T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18"/>
      <c r="K699" s="5"/>
      <c r="L699" s="5"/>
      <c r="M699" s="5"/>
      <c r="N699" s="5"/>
      <c r="O699" s="5"/>
      <c r="P699" s="5"/>
      <c r="Q699" s="5"/>
      <c r="R699" s="5"/>
      <c r="S699" s="5"/>
      <c r="T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18"/>
      <c r="K700" s="5"/>
      <c r="L700" s="5"/>
      <c r="M700" s="5"/>
      <c r="N700" s="5"/>
      <c r="O700" s="5"/>
      <c r="P700" s="5"/>
      <c r="Q700" s="5"/>
      <c r="R700" s="5"/>
      <c r="S700" s="5"/>
      <c r="T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18"/>
      <c r="K701" s="5"/>
      <c r="L701" s="5"/>
      <c r="M701" s="5"/>
      <c r="N701" s="5"/>
      <c r="O701" s="5"/>
      <c r="P701" s="5"/>
      <c r="Q701" s="5"/>
      <c r="R701" s="5"/>
      <c r="S701" s="5"/>
      <c r="T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18"/>
      <c r="K702" s="5"/>
      <c r="L702" s="5"/>
      <c r="M702" s="5"/>
      <c r="N702" s="5"/>
      <c r="O702" s="5"/>
      <c r="P702" s="5"/>
      <c r="Q702" s="5"/>
      <c r="R702" s="5"/>
      <c r="S702" s="5"/>
      <c r="T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18"/>
      <c r="K703" s="5"/>
      <c r="L703" s="5"/>
      <c r="M703" s="5"/>
      <c r="N703" s="5"/>
      <c r="O703" s="5"/>
      <c r="P703" s="5"/>
      <c r="Q703" s="5"/>
      <c r="R703" s="5"/>
      <c r="S703" s="5"/>
      <c r="T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18"/>
      <c r="K704" s="5"/>
      <c r="L704" s="5"/>
      <c r="M704" s="5"/>
      <c r="N704" s="5"/>
      <c r="O704" s="5"/>
      <c r="P704" s="5"/>
      <c r="Q704" s="5"/>
      <c r="R704" s="5"/>
      <c r="S704" s="5"/>
      <c r="T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18"/>
      <c r="K705" s="5"/>
      <c r="L705" s="5"/>
      <c r="M705" s="5"/>
      <c r="N705" s="5"/>
      <c r="O705" s="5"/>
      <c r="P705" s="5"/>
      <c r="Q705" s="5"/>
      <c r="R705" s="5"/>
      <c r="S705" s="5"/>
      <c r="T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18"/>
      <c r="K706" s="5"/>
      <c r="L706" s="5"/>
      <c r="M706" s="5"/>
      <c r="N706" s="5"/>
      <c r="O706" s="5"/>
      <c r="P706" s="5"/>
      <c r="Q706" s="5"/>
      <c r="R706" s="5"/>
      <c r="S706" s="5"/>
      <c r="T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18"/>
      <c r="K707" s="5"/>
      <c r="L707" s="5"/>
      <c r="M707" s="5"/>
      <c r="N707" s="5"/>
      <c r="O707" s="5"/>
      <c r="P707" s="5"/>
      <c r="Q707" s="5"/>
      <c r="R707" s="5"/>
      <c r="S707" s="5"/>
      <c r="T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18"/>
      <c r="K708" s="5"/>
      <c r="L708" s="5"/>
      <c r="M708" s="5"/>
      <c r="N708" s="5"/>
      <c r="O708" s="5"/>
      <c r="P708" s="5"/>
      <c r="Q708" s="5"/>
      <c r="R708" s="5"/>
      <c r="S708" s="5"/>
      <c r="T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18"/>
      <c r="K709" s="5"/>
      <c r="L709" s="5"/>
      <c r="M709" s="5"/>
      <c r="N709" s="5"/>
      <c r="O709" s="5"/>
      <c r="P709" s="5"/>
      <c r="Q709" s="5"/>
      <c r="R709" s="5"/>
      <c r="S709" s="5"/>
      <c r="T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18"/>
      <c r="K710" s="5"/>
      <c r="L710" s="5"/>
      <c r="M710" s="5"/>
      <c r="N710" s="5"/>
      <c r="O710" s="5"/>
      <c r="P710" s="5"/>
      <c r="Q710" s="5"/>
      <c r="R710" s="5"/>
      <c r="S710" s="5"/>
      <c r="T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18"/>
      <c r="K711" s="5"/>
      <c r="L711" s="5"/>
      <c r="M711" s="5"/>
      <c r="N711" s="5"/>
      <c r="O711" s="5"/>
      <c r="P711" s="5"/>
      <c r="Q711" s="5"/>
      <c r="R711" s="5"/>
      <c r="S711" s="5"/>
      <c r="T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18"/>
      <c r="K712" s="5"/>
      <c r="L712" s="5"/>
      <c r="M712" s="5"/>
      <c r="N712" s="5"/>
      <c r="O712" s="5"/>
      <c r="P712" s="5"/>
      <c r="Q712" s="5"/>
      <c r="R712" s="5"/>
      <c r="S712" s="5"/>
      <c r="T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18"/>
      <c r="K713" s="5"/>
      <c r="L713" s="5"/>
      <c r="M713" s="5"/>
      <c r="N713" s="5"/>
      <c r="O713" s="5"/>
      <c r="P713" s="5"/>
      <c r="Q713" s="5"/>
      <c r="R713" s="5"/>
      <c r="S713" s="5"/>
      <c r="T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18"/>
      <c r="K714" s="5"/>
      <c r="L714" s="5"/>
      <c r="M714" s="5"/>
      <c r="N714" s="5"/>
      <c r="O714" s="5"/>
      <c r="P714" s="5"/>
      <c r="Q714" s="5"/>
      <c r="R714" s="5"/>
      <c r="S714" s="5"/>
      <c r="T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18"/>
      <c r="K715" s="5"/>
      <c r="L715" s="5"/>
      <c r="M715" s="5"/>
      <c r="N715" s="5"/>
      <c r="O715" s="5"/>
      <c r="P715" s="5"/>
      <c r="Q715" s="5"/>
      <c r="R715" s="5"/>
      <c r="S715" s="5"/>
      <c r="T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18"/>
      <c r="K716" s="5"/>
      <c r="L716" s="5"/>
      <c r="M716" s="5"/>
      <c r="N716" s="5"/>
      <c r="O716" s="5"/>
      <c r="P716" s="5"/>
      <c r="Q716" s="5"/>
      <c r="R716" s="5"/>
      <c r="S716" s="5"/>
      <c r="T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18"/>
      <c r="K717" s="5"/>
      <c r="L717" s="5"/>
      <c r="M717" s="5"/>
      <c r="N717" s="5"/>
      <c r="O717" s="5"/>
      <c r="P717" s="5"/>
      <c r="Q717" s="5"/>
      <c r="R717" s="5"/>
      <c r="S717" s="5"/>
      <c r="T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18"/>
      <c r="K718" s="5"/>
      <c r="L718" s="5"/>
      <c r="M718" s="5"/>
      <c r="N718" s="5"/>
      <c r="O718" s="5"/>
      <c r="P718" s="5"/>
      <c r="Q718" s="5"/>
      <c r="R718" s="5"/>
      <c r="S718" s="5"/>
      <c r="T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18"/>
      <c r="K719" s="5"/>
      <c r="L719" s="5"/>
      <c r="M719" s="5"/>
      <c r="N719" s="5"/>
      <c r="O719" s="5"/>
      <c r="P719" s="5"/>
      <c r="Q719" s="5"/>
      <c r="R719" s="5"/>
      <c r="S719" s="5"/>
      <c r="T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18"/>
      <c r="K720" s="5"/>
      <c r="L720" s="5"/>
      <c r="M720" s="5"/>
      <c r="N720" s="5"/>
      <c r="O720" s="5"/>
      <c r="P720" s="5"/>
      <c r="Q720" s="5"/>
      <c r="R720" s="5"/>
      <c r="S720" s="5"/>
      <c r="T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18"/>
      <c r="K721" s="5"/>
      <c r="L721" s="5"/>
      <c r="M721" s="5"/>
      <c r="N721" s="5"/>
      <c r="O721" s="5"/>
      <c r="P721" s="5"/>
      <c r="Q721" s="5"/>
      <c r="R721" s="5"/>
      <c r="S721" s="5"/>
      <c r="T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18"/>
      <c r="K722" s="5"/>
      <c r="L722" s="5"/>
      <c r="M722" s="5"/>
      <c r="N722" s="5"/>
      <c r="O722" s="5"/>
      <c r="P722" s="5"/>
      <c r="Q722" s="5"/>
      <c r="R722" s="5"/>
      <c r="S722" s="5"/>
      <c r="T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18"/>
      <c r="K723" s="5"/>
      <c r="L723" s="5"/>
      <c r="M723" s="5"/>
      <c r="N723" s="5"/>
      <c r="O723" s="5"/>
      <c r="P723" s="5"/>
      <c r="Q723" s="5"/>
      <c r="R723" s="5"/>
      <c r="S723" s="5"/>
      <c r="T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18"/>
      <c r="K724" s="5"/>
      <c r="L724" s="5"/>
      <c r="M724" s="5"/>
      <c r="N724" s="5"/>
      <c r="O724" s="5"/>
      <c r="P724" s="5"/>
      <c r="Q724" s="5"/>
      <c r="R724" s="5"/>
      <c r="S724" s="5"/>
      <c r="T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18"/>
      <c r="K725" s="5"/>
      <c r="L725" s="5"/>
      <c r="M725" s="5"/>
      <c r="N725" s="5"/>
      <c r="O725" s="5"/>
      <c r="P725" s="5"/>
      <c r="Q725" s="5"/>
      <c r="R725" s="5"/>
      <c r="S725" s="5"/>
      <c r="T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18"/>
      <c r="K726" s="5"/>
      <c r="L726" s="5"/>
      <c r="M726" s="5"/>
      <c r="N726" s="5"/>
      <c r="O726" s="5"/>
      <c r="P726" s="5"/>
      <c r="Q726" s="5"/>
      <c r="R726" s="5"/>
      <c r="S726" s="5"/>
      <c r="T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18"/>
      <c r="K727" s="5"/>
      <c r="L727" s="5"/>
      <c r="M727" s="5"/>
      <c r="N727" s="5"/>
      <c r="O727" s="5"/>
      <c r="P727" s="5"/>
      <c r="Q727" s="5"/>
      <c r="R727" s="5"/>
      <c r="S727" s="5"/>
      <c r="T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18"/>
      <c r="K728" s="5"/>
      <c r="L728" s="5"/>
      <c r="M728" s="5"/>
      <c r="N728" s="5"/>
      <c r="O728" s="5"/>
      <c r="P728" s="5"/>
      <c r="Q728" s="5"/>
      <c r="R728" s="5"/>
      <c r="S728" s="5"/>
      <c r="T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18"/>
      <c r="K729" s="5"/>
      <c r="L729" s="5"/>
      <c r="M729" s="5"/>
      <c r="N729" s="5"/>
      <c r="O729" s="5"/>
      <c r="P729" s="5"/>
      <c r="Q729" s="5"/>
      <c r="R729" s="5"/>
      <c r="S729" s="5"/>
      <c r="T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18"/>
      <c r="K730" s="5"/>
      <c r="L730" s="5"/>
      <c r="M730" s="5"/>
      <c r="N730" s="5"/>
      <c r="O730" s="5"/>
      <c r="P730" s="5"/>
      <c r="Q730" s="5"/>
      <c r="R730" s="5"/>
      <c r="S730" s="5"/>
      <c r="T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18"/>
      <c r="K731" s="5"/>
      <c r="L731" s="5"/>
      <c r="M731" s="5"/>
      <c r="N731" s="5"/>
      <c r="O731" s="5"/>
      <c r="P731" s="5"/>
      <c r="Q731" s="5"/>
      <c r="R731" s="5"/>
      <c r="S731" s="5"/>
      <c r="T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18"/>
      <c r="K732" s="5"/>
      <c r="L732" s="5"/>
      <c r="M732" s="5"/>
      <c r="N732" s="5"/>
      <c r="O732" s="5"/>
      <c r="P732" s="5"/>
      <c r="Q732" s="5"/>
      <c r="R732" s="5"/>
      <c r="S732" s="5"/>
      <c r="T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18"/>
      <c r="K733" s="5"/>
      <c r="L733" s="5"/>
      <c r="M733" s="5"/>
      <c r="N733" s="5"/>
      <c r="O733" s="5"/>
      <c r="P733" s="5"/>
      <c r="Q733" s="5"/>
      <c r="R733" s="5"/>
      <c r="S733" s="5"/>
      <c r="T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18"/>
      <c r="K734" s="5"/>
      <c r="L734" s="5"/>
      <c r="M734" s="5"/>
      <c r="N734" s="5"/>
      <c r="O734" s="5"/>
      <c r="P734" s="5"/>
      <c r="Q734" s="5"/>
      <c r="R734" s="5"/>
      <c r="S734" s="5"/>
      <c r="T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18"/>
      <c r="K735" s="5"/>
      <c r="L735" s="5"/>
      <c r="M735" s="5"/>
      <c r="N735" s="5"/>
      <c r="O735" s="5"/>
      <c r="P735" s="5"/>
      <c r="Q735" s="5"/>
      <c r="R735" s="5"/>
      <c r="S735" s="5"/>
      <c r="T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18"/>
      <c r="K736" s="5"/>
      <c r="L736" s="5"/>
      <c r="M736" s="5"/>
      <c r="N736" s="5"/>
      <c r="O736" s="5"/>
      <c r="P736" s="5"/>
      <c r="Q736" s="5"/>
      <c r="R736" s="5"/>
      <c r="S736" s="5"/>
      <c r="T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18"/>
      <c r="K737" s="5"/>
      <c r="L737" s="5"/>
      <c r="M737" s="5"/>
      <c r="N737" s="5"/>
      <c r="O737" s="5"/>
      <c r="P737" s="5"/>
      <c r="Q737" s="5"/>
      <c r="R737" s="5"/>
      <c r="S737" s="5"/>
      <c r="T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18"/>
      <c r="K738" s="5"/>
      <c r="L738" s="5"/>
      <c r="M738" s="5"/>
      <c r="N738" s="5"/>
      <c r="O738" s="5"/>
      <c r="P738" s="5"/>
      <c r="Q738" s="5"/>
      <c r="R738" s="5"/>
      <c r="S738" s="5"/>
      <c r="T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18"/>
      <c r="K739" s="5"/>
      <c r="L739" s="5"/>
      <c r="M739" s="5"/>
      <c r="N739" s="5"/>
      <c r="O739" s="5"/>
      <c r="P739" s="5"/>
      <c r="Q739" s="5"/>
      <c r="R739" s="5"/>
      <c r="S739" s="5"/>
      <c r="T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18"/>
      <c r="K740" s="5"/>
      <c r="L740" s="5"/>
      <c r="M740" s="5"/>
      <c r="N740" s="5"/>
      <c r="O740" s="5"/>
      <c r="P740" s="5"/>
      <c r="Q740" s="5"/>
      <c r="R740" s="5"/>
      <c r="S740" s="5"/>
      <c r="T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18"/>
      <c r="K741" s="5"/>
      <c r="L741" s="5"/>
      <c r="M741" s="5"/>
      <c r="N741" s="5"/>
      <c r="O741" s="5"/>
      <c r="P741" s="5"/>
      <c r="Q741" s="5"/>
      <c r="R741" s="5"/>
      <c r="S741" s="5"/>
      <c r="T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18"/>
      <c r="K742" s="5"/>
      <c r="L742" s="5"/>
      <c r="M742" s="5"/>
      <c r="N742" s="5"/>
      <c r="O742" s="5"/>
      <c r="P742" s="5"/>
      <c r="Q742" s="5"/>
      <c r="R742" s="5"/>
      <c r="S742" s="5"/>
      <c r="T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18"/>
      <c r="K743" s="5"/>
      <c r="L743" s="5"/>
      <c r="M743" s="5"/>
      <c r="N743" s="5"/>
      <c r="O743" s="5"/>
      <c r="P743" s="5"/>
      <c r="Q743" s="5"/>
      <c r="R743" s="5"/>
      <c r="S743" s="5"/>
      <c r="T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18"/>
      <c r="K744" s="5"/>
      <c r="L744" s="5"/>
      <c r="M744" s="5"/>
      <c r="N744" s="5"/>
      <c r="O744" s="5"/>
      <c r="P744" s="5"/>
      <c r="Q744" s="5"/>
      <c r="R744" s="5"/>
      <c r="S744" s="5"/>
      <c r="T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18"/>
      <c r="K745" s="5"/>
      <c r="L745" s="5"/>
      <c r="M745" s="5"/>
      <c r="N745" s="5"/>
      <c r="O745" s="5"/>
      <c r="P745" s="5"/>
      <c r="Q745" s="5"/>
      <c r="R745" s="5"/>
      <c r="S745" s="5"/>
      <c r="T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18"/>
      <c r="K746" s="5"/>
      <c r="L746" s="5"/>
      <c r="M746" s="5"/>
      <c r="N746" s="5"/>
      <c r="O746" s="5"/>
      <c r="P746" s="5"/>
      <c r="Q746" s="5"/>
      <c r="R746" s="5"/>
      <c r="S746" s="5"/>
      <c r="T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18"/>
      <c r="K747" s="5"/>
      <c r="L747" s="5"/>
      <c r="M747" s="5"/>
      <c r="N747" s="5"/>
      <c r="O747" s="5"/>
      <c r="P747" s="5"/>
      <c r="Q747" s="5"/>
      <c r="R747" s="5"/>
      <c r="S747" s="5"/>
      <c r="T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18"/>
      <c r="K748" s="5"/>
      <c r="L748" s="5"/>
      <c r="M748" s="5"/>
      <c r="N748" s="5"/>
      <c r="O748" s="5"/>
      <c r="P748" s="5"/>
      <c r="Q748" s="5"/>
      <c r="R748" s="5"/>
      <c r="S748" s="5"/>
      <c r="T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18"/>
      <c r="K749" s="5"/>
      <c r="L749" s="5"/>
      <c r="M749" s="5"/>
      <c r="N749" s="5"/>
      <c r="O749" s="5"/>
      <c r="P749" s="5"/>
      <c r="Q749" s="5"/>
      <c r="R749" s="5"/>
      <c r="S749" s="5"/>
      <c r="T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18"/>
      <c r="K750" s="5"/>
      <c r="L750" s="5"/>
      <c r="M750" s="5"/>
      <c r="N750" s="5"/>
      <c r="O750" s="5"/>
      <c r="P750" s="5"/>
      <c r="Q750" s="5"/>
      <c r="R750" s="5"/>
      <c r="S750" s="5"/>
      <c r="T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18"/>
      <c r="K751" s="5"/>
      <c r="L751" s="5"/>
      <c r="M751" s="5"/>
      <c r="N751" s="5"/>
      <c r="O751" s="5"/>
      <c r="P751" s="5"/>
      <c r="Q751" s="5"/>
      <c r="R751" s="5"/>
      <c r="S751" s="5"/>
      <c r="T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18"/>
      <c r="K752" s="5"/>
      <c r="L752" s="5"/>
      <c r="M752" s="5"/>
      <c r="N752" s="5"/>
      <c r="O752" s="5"/>
      <c r="P752" s="5"/>
      <c r="Q752" s="5"/>
      <c r="R752" s="5"/>
      <c r="S752" s="5"/>
      <c r="T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18"/>
      <c r="K753" s="5"/>
      <c r="L753" s="5"/>
      <c r="M753" s="5"/>
      <c r="N753" s="5"/>
      <c r="O753" s="5"/>
      <c r="P753" s="5"/>
      <c r="Q753" s="5"/>
      <c r="R753" s="5"/>
      <c r="S753" s="5"/>
      <c r="T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18"/>
      <c r="K754" s="5"/>
      <c r="L754" s="5"/>
      <c r="M754" s="5"/>
      <c r="N754" s="5"/>
      <c r="O754" s="5"/>
      <c r="P754" s="5"/>
      <c r="Q754" s="5"/>
      <c r="R754" s="5"/>
      <c r="S754" s="5"/>
      <c r="T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18"/>
      <c r="K755" s="5"/>
      <c r="L755" s="5"/>
      <c r="M755" s="5"/>
      <c r="N755" s="5"/>
      <c r="O755" s="5"/>
      <c r="P755" s="5"/>
      <c r="Q755" s="5"/>
      <c r="R755" s="5"/>
      <c r="S755" s="5"/>
      <c r="T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18"/>
      <c r="K756" s="5"/>
      <c r="L756" s="5"/>
      <c r="M756" s="5"/>
      <c r="N756" s="5"/>
      <c r="O756" s="5"/>
      <c r="P756" s="5"/>
      <c r="Q756" s="5"/>
      <c r="R756" s="5"/>
      <c r="S756" s="5"/>
      <c r="T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18"/>
      <c r="K757" s="5"/>
      <c r="L757" s="5"/>
      <c r="M757" s="5"/>
      <c r="N757" s="5"/>
      <c r="O757" s="5"/>
      <c r="P757" s="5"/>
      <c r="Q757" s="5"/>
      <c r="R757" s="5"/>
      <c r="S757" s="5"/>
      <c r="T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18"/>
      <c r="K758" s="5"/>
      <c r="L758" s="5"/>
      <c r="M758" s="5"/>
      <c r="N758" s="5"/>
      <c r="O758" s="5"/>
      <c r="P758" s="5"/>
      <c r="Q758" s="5"/>
      <c r="R758" s="5"/>
      <c r="S758" s="5"/>
      <c r="T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18"/>
      <c r="K759" s="5"/>
      <c r="L759" s="5"/>
      <c r="M759" s="5"/>
      <c r="N759" s="5"/>
      <c r="O759" s="5"/>
      <c r="P759" s="5"/>
      <c r="Q759" s="5"/>
      <c r="R759" s="5"/>
      <c r="S759" s="5"/>
      <c r="T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18"/>
      <c r="K760" s="5"/>
      <c r="L760" s="5"/>
      <c r="M760" s="5"/>
      <c r="N760" s="5"/>
      <c r="O760" s="5"/>
      <c r="P760" s="5"/>
      <c r="Q760" s="5"/>
      <c r="R760" s="5"/>
      <c r="S760" s="5"/>
      <c r="T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18"/>
      <c r="K761" s="5"/>
      <c r="L761" s="5"/>
      <c r="M761" s="5"/>
      <c r="N761" s="5"/>
      <c r="O761" s="5"/>
      <c r="P761" s="5"/>
      <c r="Q761" s="5"/>
      <c r="R761" s="5"/>
      <c r="S761" s="5"/>
      <c r="T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18"/>
      <c r="K762" s="5"/>
      <c r="L762" s="5"/>
      <c r="M762" s="5"/>
      <c r="N762" s="5"/>
      <c r="O762" s="5"/>
      <c r="P762" s="5"/>
      <c r="Q762" s="5"/>
      <c r="R762" s="5"/>
      <c r="S762" s="5"/>
      <c r="T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18"/>
      <c r="K763" s="5"/>
      <c r="L763" s="5"/>
      <c r="M763" s="5"/>
      <c r="N763" s="5"/>
      <c r="O763" s="5"/>
      <c r="P763" s="5"/>
      <c r="Q763" s="5"/>
      <c r="R763" s="5"/>
      <c r="S763" s="5"/>
      <c r="T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18"/>
      <c r="K764" s="5"/>
      <c r="L764" s="5"/>
      <c r="M764" s="5"/>
      <c r="N764" s="5"/>
      <c r="O764" s="5"/>
      <c r="P764" s="5"/>
      <c r="Q764" s="5"/>
      <c r="R764" s="5"/>
      <c r="S764" s="5"/>
      <c r="T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18"/>
      <c r="K765" s="5"/>
      <c r="L765" s="5"/>
      <c r="M765" s="5"/>
      <c r="N765" s="5"/>
      <c r="O765" s="5"/>
      <c r="P765" s="5"/>
      <c r="Q765" s="5"/>
      <c r="R765" s="5"/>
      <c r="S765" s="5"/>
      <c r="T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18"/>
      <c r="K766" s="5"/>
      <c r="L766" s="5"/>
      <c r="M766" s="5"/>
      <c r="N766" s="5"/>
      <c r="O766" s="5"/>
      <c r="P766" s="5"/>
      <c r="Q766" s="5"/>
      <c r="R766" s="5"/>
      <c r="S766" s="5"/>
      <c r="T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18"/>
      <c r="K767" s="5"/>
      <c r="L767" s="5"/>
      <c r="M767" s="5"/>
      <c r="N767" s="5"/>
      <c r="O767" s="5"/>
      <c r="P767" s="5"/>
      <c r="Q767" s="5"/>
      <c r="R767" s="5"/>
      <c r="S767" s="5"/>
      <c r="T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18"/>
      <c r="K768" s="5"/>
      <c r="L768" s="5"/>
      <c r="M768" s="5"/>
      <c r="N768" s="5"/>
      <c r="O768" s="5"/>
      <c r="P768" s="5"/>
      <c r="Q768" s="5"/>
      <c r="R768" s="5"/>
      <c r="S768" s="5"/>
      <c r="T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18"/>
      <c r="K769" s="5"/>
      <c r="L769" s="5"/>
      <c r="M769" s="5"/>
      <c r="N769" s="5"/>
      <c r="O769" s="5"/>
      <c r="P769" s="5"/>
      <c r="Q769" s="5"/>
      <c r="R769" s="5"/>
      <c r="S769" s="5"/>
      <c r="T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18"/>
      <c r="K770" s="5"/>
      <c r="L770" s="5"/>
      <c r="M770" s="5"/>
      <c r="N770" s="5"/>
      <c r="O770" s="5"/>
      <c r="P770" s="5"/>
      <c r="Q770" s="5"/>
      <c r="R770" s="5"/>
      <c r="S770" s="5"/>
      <c r="T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18"/>
      <c r="K771" s="5"/>
      <c r="L771" s="5"/>
      <c r="M771" s="5"/>
      <c r="N771" s="5"/>
      <c r="O771" s="5"/>
      <c r="P771" s="5"/>
      <c r="Q771" s="5"/>
      <c r="R771" s="5"/>
      <c r="S771" s="5"/>
      <c r="T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18"/>
      <c r="K772" s="5"/>
      <c r="L772" s="5"/>
      <c r="M772" s="5"/>
      <c r="N772" s="5"/>
      <c r="O772" s="5"/>
      <c r="P772" s="5"/>
      <c r="Q772" s="5"/>
      <c r="R772" s="5"/>
      <c r="S772" s="5"/>
      <c r="T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18"/>
      <c r="K773" s="5"/>
      <c r="L773" s="5"/>
      <c r="M773" s="5"/>
      <c r="N773" s="5"/>
      <c r="O773" s="5"/>
      <c r="P773" s="5"/>
      <c r="Q773" s="5"/>
      <c r="R773" s="5"/>
      <c r="S773" s="5"/>
      <c r="T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18"/>
      <c r="K774" s="5"/>
      <c r="L774" s="5"/>
      <c r="M774" s="5"/>
      <c r="N774" s="5"/>
      <c r="O774" s="5"/>
      <c r="P774" s="5"/>
      <c r="Q774" s="5"/>
      <c r="R774" s="5"/>
      <c r="S774" s="5"/>
      <c r="T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18"/>
      <c r="K775" s="5"/>
      <c r="L775" s="5"/>
      <c r="M775" s="5"/>
      <c r="N775" s="5"/>
      <c r="O775" s="5"/>
      <c r="P775" s="5"/>
      <c r="Q775" s="5"/>
      <c r="R775" s="5"/>
      <c r="S775" s="5"/>
      <c r="T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18"/>
      <c r="K776" s="5"/>
      <c r="L776" s="5"/>
      <c r="M776" s="5"/>
      <c r="N776" s="5"/>
      <c r="O776" s="5"/>
      <c r="P776" s="5"/>
      <c r="Q776" s="5"/>
      <c r="R776" s="5"/>
      <c r="S776" s="5"/>
      <c r="T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18"/>
      <c r="K777" s="5"/>
      <c r="L777" s="5"/>
      <c r="M777" s="5"/>
      <c r="N777" s="5"/>
      <c r="O777" s="5"/>
      <c r="P777" s="5"/>
      <c r="Q777" s="5"/>
      <c r="R777" s="5"/>
      <c r="S777" s="5"/>
      <c r="T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18"/>
      <c r="K778" s="5"/>
      <c r="L778" s="5"/>
      <c r="M778" s="5"/>
      <c r="N778" s="5"/>
      <c r="O778" s="5"/>
      <c r="P778" s="5"/>
      <c r="Q778" s="5"/>
      <c r="R778" s="5"/>
      <c r="S778" s="5"/>
      <c r="T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18"/>
      <c r="K779" s="5"/>
      <c r="L779" s="5"/>
      <c r="M779" s="5"/>
      <c r="N779" s="5"/>
      <c r="O779" s="5"/>
      <c r="P779" s="5"/>
      <c r="Q779" s="5"/>
      <c r="R779" s="5"/>
      <c r="S779" s="5"/>
      <c r="T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18"/>
      <c r="K780" s="5"/>
      <c r="L780" s="5"/>
      <c r="M780" s="5"/>
      <c r="N780" s="5"/>
      <c r="O780" s="5"/>
      <c r="P780" s="5"/>
      <c r="Q780" s="5"/>
      <c r="R780" s="5"/>
      <c r="S780" s="5"/>
      <c r="T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18"/>
      <c r="K781" s="5"/>
      <c r="L781" s="5"/>
      <c r="M781" s="5"/>
      <c r="N781" s="5"/>
      <c r="O781" s="5"/>
      <c r="P781" s="5"/>
      <c r="Q781" s="5"/>
      <c r="R781" s="5"/>
      <c r="S781" s="5"/>
      <c r="T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18"/>
      <c r="K782" s="5"/>
      <c r="L782" s="5"/>
      <c r="M782" s="5"/>
      <c r="N782" s="5"/>
      <c r="O782" s="5"/>
      <c r="P782" s="5"/>
      <c r="Q782" s="5"/>
      <c r="R782" s="5"/>
      <c r="S782" s="5"/>
      <c r="T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18"/>
      <c r="K783" s="5"/>
      <c r="L783" s="5"/>
      <c r="M783" s="5"/>
      <c r="N783" s="5"/>
      <c r="O783" s="5"/>
      <c r="P783" s="5"/>
      <c r="Q783" s="5"/>
      <c r="R783" s="5"/>
      <c r="S783" s="5"/>
      <c r="T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18"/>
      <c r="K784" s="5"/>
      <c r="L784" s="5"/>
      <c r="M784" s="5"/>
      <c r="N784" s="5"/>
      <c r="O784" s="5"/>
      <c r="P784" s="5"/>
      <c r="Q784" s="5"/>
      <c r="R784" s="5"/>
      <c r="S784" s="5"/>
      <c r="T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18"/>
      <c r="K785" s="5"/>
      <c r="L785" s="5"/>
      <c r="M785" s="5"/>
      <c r="N785" s="5"/>
      <c r="O785" s="5"/>
      <c r="P785" s="5"/>
      <c r="Q785" s="5"/>
      <c r="R785" s="5"/>
      <c r="S785" s="5"/>
      <c r="T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18"/>
      <c r="K786" s="5"/>
      <c r="L786" s="5"/>
      <c r="M786" s="5"/>
      <c r="N786" s="5"/>
      <c r="O786" s="5"/>
      <c r="P786" s="5"/>
      <c r="Q786" s="5"/>
      <c r="R786" s="5"/>
      <c r="S786" s="5"/>
      <c r="T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18"/>
      <c r="K787" s="5"/>
      <c r="L787" s="5"/>
      <c r="M787" s="5"/>
      <c r="N787" s="5"/>
      <c r="O787" s="5"/>
      <c r="P787" s="5"/>
      <c r="Q787" s="5"/>
      <c r="R787" s="5"/>
      <c r="S787" s="5"/>
      <c r="T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18"/>
      <c r="K788" s="5"/>
      <c r="L788" s="5"/>
      <c r="M788" s="5"/>
      <c r="N788" s="5"/>
      <c r="O788" s="5"/>
      <c r="P788" s="5"/>
      <c r="Q788" s="5"/>
      <c r="R788" s="5"/>
      <c r="S788" s="5"/>
      <c r="T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18"/>
      <c r="K789" s="5"/>
      <c r="L789" s="5"/>
      <c r="M789" s="5"/>
      <c r="N789" s="5"/>
      <c r="O789" s="5"/>
      <c r="P789" s="5"/>
      <c r="Q789" s="5"/>
      <c r="R789" s="5"/>
      <c r="S789" s="5"/>
      <c r="T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18"/>
      <c r="K790" s="5"/>
      <c r="L790" s="5"/>
      <c r="M790" s="5"/>
      <c r="N790" s="5"/>
      <c r="O790" s="5"/>
      <c r="P790" s="5"/>
      <c r="Q790" s="5"/>
      <c r="R790" s="5"/>
      <c r="S790" s="5"/>
      <c r="T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18"/>
      <c r="K791" s="5"/>
      <c r="L791" s="5"/>
      <c r="M791" s="5"/>
      <c r="N791" s="5"/>
      <c r="O791" s="5"/>
      <c r="P791" s="5"/>
      <c r="Q791" s="5"/>
      <c r="R791" s="5"/>
      <c r="S791" s="5"/>
      <c r="T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18"/>
      <c r="K792" s="5"/>
      <c r="L792" s="5"/>
      <c r="M792" s="5"/>
      <c r="N792" s="5"/>
      <c r="O792" s="5"/>
      <c r="P792" s="5"/>
      <c r="Q792" s="5"/>
      <c r="R792" s="5"/>
      <c r="S792" s="5"/>
      <c r="T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18"/>
      <c r="K793" s="5"/>
      <c r="L793" s="5"/>
      <c r="M793" s="5"/>
      <c r="N793" s="5"/>
      <c r="O793" s="5"/>
      <c r="P793" s="5"/>
      <c r="Q793" s="5"/>
      <c r="R793" s="5"/>
      <c r="S793" s="5"/>
      <c r="T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18"/>
      <c r="K794" s="5"/>
      <c r="L794" s="5"/>
      <c r="M794" s="5"/>
      <c r="N794" s="5"/>
      <c r="O794" s="5"/>
      <c r="P794" s="5"/>
      <c r="Q794" s="5"/>
      <c r="R794" s="5"/>
      <c r="S794" s="5"/>
      <c r="T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18"/>
      <c r="K795" s="5"/>
      <c r="L795" s="5"/>
      <c r="M795" s="5"/>
      <c r="N795" s="5"/>
      <c r="O795" s="5"/>
      <c r="P795" s="5"/>
      <c r="Q795" s="5"/>
      <c r="R795" s="5"/>
      <c r="S795" s="5"/>
      <c r="T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18"/>
      <c r="K796" s="5"/>
      <c r="L796" s="5"/>
      <c r="M796" s="5"/>
      <c r="N796" s="5"/>
      <c r="O796" s="5"/>
      <c r="P796" s="5"/>
      <c r="Q796" s="5"/>
      <c r="R796" s="5"/>
      <c r="S796" s="5"/>
      <c r="T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18"/>
      <c r="K797" s="5"/>
      <c r="L797" s="5"/>
      <c r="M797" s="5"/>
      <c r="N797" s="5"/>
      <c r="O797" s="5"/>
      <c r="P797" s="5"/>
      <c r="Q797" s="5"/>
      <c r="R797" s="5"/>
      <c r="S797" s="5"/>
      <c r="T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18"/>
      <c r="K798" s="5"/>
      <c r="L798" s="5"/>
      <c r="M798" s="5"/>
      <c r="N798" s="5"/>
      <c r="O798" s="5"/>
      <c r="P798" s="5"/>
      <c r="Q798" s="5"/>
      <c r="R798" s="5"/>
      <c r="S798" s="5"/>
      <c r="T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18"/>
      <c r="K799" s="5"/>
      <c r="L799" s="5"/>
      <c r="M799" s="5"/>
      <c r="N799" s="5"/>
      <c r="O799" s="5"/>
      <c r="P799" s="5"/>
      <c r="Q799" s="5"/>
      <c r="R799" s="5"/>
      <c r="S799" s="5"/>
      <c r="T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18"/>
      <c r="K800" s="5"/>
      <c r="L800" s="5"/>
      <c r="M800" s="5"/>
      <c r="N800" s="5"/>
      <c r="O800" s="5"/>
      <c r="P800" s="5"/>
      <c r="Q800" s="5"/>
      <c r="R800" s="5"/>
      <c r="S800" s="5"/>
      <c r="T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18"/>
      <c r="K801" s="5"/>
      <c r="L801" s="5"/>
      <c r="M801" s="5"/>
      <c r="N801" s="5"/>
      <c r="O801" s="5"/>
      <c r="P801" s="5"/>
      <c r="Q801" s="5"/>
      <c r="R801" s="5"/>
      <c r="S801" s="5"/>
      <c r="T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18"/>
      <c r="K802" s="5"/>
      <c r="L802" s="5"/>
      <c r="M802" s="5"/>
      <c r="N802" s="5"/>
      <c r="O802" s="5"/>
      <c r="P802" s="5"/>
      <c r="Q802" s="5"/>
      <c r="R802" s="5"/>
      <c r="S802" s="5"/>
      <c r="T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18"/>
      <c r="K803" s="5"/>
      <c r="L803" s="5"/>
      <c r="M803" s="5"/>
      <c r="N803" s="5"/>
      <c r="O803" s="5"/>
      <c r="P803" s="5"/>
      <c r="Q803" s="5"/>
      <c r="R803" s="5"/>
      <c r="S803" s="5"/>
      <c r="T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18"/>
      <c r="K804" s="5"/>
      <c r="L804" s="5"/>
      <c r="M804" s="5"/>
      <c r="N804" s="5"/>
      <c r="O804" s="5"/>
      <c r="P804" s="5"/>
      <c r="Q804" s="5"/>
      <c r="R804" s="5"/>
      <c r="S804" s="5"/>
      <c r="T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18"/>
      <c r="K805" s="5"/>
      <c r="L805" s="5"/>
      <c r="M805" s="5"/>
      <c r="N805" s="5"/>
      <c r="O805" s="5"/>
      <c r="P805" s="5"/>
      <c r="Q805" s="5"/>
      <c r="R805" s="5"/>
      <c r="S805" s="5"/>
      <c r="T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18"/>
      <c r="K806" s="5"/>
      <c r="L806" s="5"/>
      <c r="M806" s="5"/>
      <c r="N806" s="5"/>
      <c r="O806" s="5"/>
      <c r="P806" s="5"/>
      <c r="Q806" s="5"/>
      <c r="R806" s="5"/>
      <c r="S806" s="5"/>
      <c r="T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18"/>
      <c r="K807" s="5"/>
      <c r="L807" s="5"/>
      <c r="M807" s="5"/>
      <c r="N807" s="5"/>
      <c r="O807" s="5"/>
      <c r="P807" s="5"/>
      <c r="Q807" s="5"/>
      <c r="R807" s="5"/>
      <c r="S807" s="5"/>
      <c r="T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18"/>
      <c r="K808" s="5"/>
      <c r="L808" s="5"/>
      <c r="M808" s="5"/>
      <c r="N808" s="5"/>
      <c r="O808" s="5"/>
      <c r="P808" s="5"/>
      <c r="Q808" s="5"/>
      <c r="R808" s="5"/>
      <c r="S808" s="5"/>
      <c r="T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18"/>
      <c r="K809" s="5"/>
      <c r="L809" s="5"/>
      <c r="M809" s="5"/>
      <c r="N809" s="5"/>
      <c r="O809" s="5"/>
      <c r="P809" s="5"/>
      <c r="Q809" s="5"/>
      <c r="R809" s="5"/>
      <c r="S809" s="5"/>
      <c r="T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18"/>
      <c r="K810" s="5"/>
      <c r="L810" s="5"/>
      <c r="M810" s="5"/>
      <c r="N810" s="5"/>
      <c r="O810" s="5"/>
      <c r="P810" s="5"/>
      <c r="Q810" s="5"/>
      <c r="R810" s="5"/>
      <c r="S810" s="5"/>
      <c r="T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18"/>
      <c r="K811" s="5"/>
      <c r="L811" s="5"/>
      <c r="M811" s="5"/>
      <c r="N811" s="5"/>
      <c r="O811" s="5"/>
      <c r="P811" s="5"/>
      <c r="Q811" s="5"/>
      <c r="R811" s="5"/>
      <c r="S811" s="5"/>
      <c r="T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18"/>
      <c r="K812" s="5"/>
      <c r="L812" s="5"/>
      <c r="M812" s="5"/>
      <c r="N812" s="5"/>
      <c r="O812" s="5"/>
      <c r="P812" s="5"/>
      <c r="Q812" s="5"/>
      <c r="R812" s="5"/>
      <c r="S812" s="5"/>
      <c r="T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18"/>
      <c r="K813" s="5"/>
      <c r="L813" s="5"/>
      <c r="M813" s="5"/>
      <c r="N813" s="5"/>
      <c r="O813" s="5"/>
      <c r="P813" s="5"/>
      <c r="Q813" s="5"/>
      <c r="R813" s="5"/>
      <c r="S813" s="5"/>
      <c r="T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18"/>
      <c r="K814" s="5"/>
      <c r="L814" s="5"/>
      <c r="M814" s="5"/>
      <c r="N814" s="5"/>
      <c r="O814" s="5"/>
      <c r="P814" s="5"/>
      <c r="Q814" s="5"/>
      <c r="R814" s="5"/>
      <c r="S814" s="5"/>
      <c r="T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18"/>
      <c r="K815" s="5"/>
      <c r="L815" s="5"/>
      <c r="M815" s="5"/>
      <c r="N815" s="5"/>
      <c r="O815" s="5"/>
      <c r="P815" s="5"/>
      <c r="Q815" s="5"/>
      <c r="R815" s="5"/>
      <c r="S815" s="5"/>
      <c r="T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18"/>
      <c r="K816" s="5"/>
      <c r="L816" s="5"/>
      <c r="M816" s="5"/>
      <c r="N816" s="5"/>
      <c r="O816" s="5"/>
      <c r="P816" s="5"/>
      <c r="Q816" s="5"/>
      <c r="R816" s="5"/>
      <c r="S816" s="5"/>
      <c r="T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18"/>
      <c r="K817" s="5"/>
      <c r="L817" s="5"/>
      <c r="M817" s="5"/>
      <c r="N817" s="5"/>
      <c r="O817" s="5"/>
      <c r="P817" s="5"/>
      <c r="Q817" s="5"/>
      <c r="R817" s="5"/>
      <c r="S817" s="5"/>
      <c r="T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18"/>
      <c r="K818" s="5"/>
      <c r="L818" s="5"/>
      <c r="M818" s="5"/>
      <c r="N818" s="5"/>
      <c r="O818" s="5"/>
      <c r="P818" s="5"/>
      <c r="Q818" s="5"/>
      <c r="R818" s="5"/>
      <c r="S818" s="5"/>
      <c r="T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18"/>
      <c r="K819" s="5"/>
      <c r="L819" s="5"/>
      <c r="M819" s="5"/>
      <c r="N819" s="5"/>
      <c r="O819" s="5"/>
      <c r="P819" s="5"/>
      <c r="Q819" s="5"/>
      <c r="R819" s="5"/>
      <c r="S819" s="5"/>
      <c r="T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18"/>
      <c r="K820" s="5"/>
      <c r="L820" s="5"/>
      <c r="M820" s="5"/>
      <c r="N820" s="5"/>
      <c r="O820" s="5"/>
      <c r="P820" s="5"/>
      <c r="Q820" s="5"/>
      <c r="R820" s="5"/>
      <c r="S820" s="5"/>
      <c r="T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18"/>
      <c r="K821" s="5"/>
      <c r="L821" s="5"/>
      <c r="M821" s="5"/>
      <c r="N821" s="5"/>
      <c r="O821" s="5"/>
      <c r="P821" s="5"/>
      <c r="Q821" s="5"/>
      <c r="R821" s="5"/>
      <c r="S821" s="5"/>
      <c r="T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18"/>
      <c r="K822" s="5"/>
      <c r="L822" s="5"/>
      <c r="M822" s="5"/>
      <c r="N822" s="5"/>
      <c r="O822" s="5"/>
      <c r="P822" s="5"/>
      <c r="Q822" s="5"/>
      <c r="R822" s="5"/>
      <c r="S822" s="5"/>
      <c r="T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18"/>
      <c r="K823" s="5"/>
      <c r="L823" s="5"/>
      <c r="M823" s="5"/>
      <c r="N823" s="5"/>
      <c r="O823" s="5"/>
      <c r="P823" s="5"/>
      <c r="Q823" s="5"/>
      <c r="R823" s="5"/>
      <c r="S823" s="5"/>
      <c r="T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18"/>
      <c r="K824" s="5"/>
      <c r="L824" s="5"/>
      <c r="M824" s="5"/>
      <c r="N824" s="5"/>
      <c r="O824" s="5"/>
      <c r="P824" s="5"/>
      <c r="Q824" s="5"/>
      <c r="R824" s="5"/>
      <c r="S824" s="5"/>
      <c r="T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18"/>
      <c r="K825" s="5"/>
      <c r="L825" s="5"/>
      <c r="M825" s="5"/>
      <c r="N825" s="5"/>
      <c r="O825" s="5"/>
      <c r="P825" s="5"/>
      <c r="Q825" s="5"/>
      <c r="R825" s="5"/>
      <c r="S825" s="5"/>
      <c r="T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18"/>
      <c r="K826" s="5"/>
      <c r="L826" s="5"/>
      <c r="M826" s="5"/>
      <c r="N826" s="5"/>
      <c r="O826" s="5"/>
      <c r="P826" s="5"/>
      <c r="Q826" s="5"/>
      <c r="R826" s="5"/>
      <c r="S826" s="5"/>
      <c r="T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18"/>
      <c r="K827" s="5"/>
      <c r="L827" s="5"/>
      <c r="M827" s="5"/>
      <c r="N827" s="5"/>
      <c r="O827" s="5"/>
      <c r="P827" s="5"/>
      <c r="Q827" s="5"/>
      <c r="R827" s="5"/>
      <c r="S827" s="5"/>
      <c r="T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18"/>
      <c r="K828" s="5"/>
      <c r="L828" s="5"/>
      <c r="M828" s="5"/>
      <c r="N828" s="5"/>
      <c r="O828" s="5"/>
      <c r="P828" s="5"/>
      <c r="Q828" s="5"/>
      <c r="R828" s="5"/>
      <c r="S828" s="5"/>
      <c r="T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18"/>
      <c r="K829" s="5"/>
      <c r="L829" s="5"/>
      <c r="M829" s="5"/>
      <c r="N829" s="5"/>
      <c r="O829" s="5"/>
      <c r="P829" s="5"/>
      <c r="Q829" s="5"/>
      <c r="R829" s="5"/>
      <c r="S829" s="5"/>
      <c r="T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18"/>
      <c r="K830" s="5"/>
      <c r="L830" s="5"/>
      <c r="M830" s="5"/>
      <c r="N830" s="5"/>
      <c r="O830" s="5"/>
      <c r="P830" s="5"/>
      <c r="Q830" s="5"/>
      <c r="R830" s="5"/>
      <c r="S830" s="5"/>
      <c r="T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18"/>
      <c r="K831" s="5"/>
      <c r="L831" s="5"/>
      <c r="M831" s="5"/>
      <c r="N831" s="5"/>
      <c r="O831" s="5"/>
      <c r="P831" s="5"/>
      <c r="Q831" s="5"/>
      <c r="R831" s="5"/>
      <c r="S831" s="5"/>
      <c r="T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18"/>
      <c r="K832" s="5"/>
      <c r="L832" s="5"/>
      <c r="M832" s="5"/>
      <c r="N832" s="5"/>
      <c r="O832" s="5"/>
      <c r="P832" s="5"/>
      <c r="Q832" s="5"/>
      <c r="R832" s="5"/>
      <c r="S832" s="5"/>
      <c r="T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18"/>
      <c r="K833" s="5"/>
      <c r="L833" s="5"/>
      <c r="M833" s="5"/>
      <c r="N833" s="5"/>
      <c r="O833" s="5"/>
      <c r="P833" s="5"/>
      <c r="Q833" s="5"/>
      <c r="R833" s="5"/>
      <c r="S833" s="5"/>
      <c r="T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18"/>
      <c r="K834" s="5"/>
      <c r="L834" s="5"/>
      <c r="M834" s="5"/>
      <c r="N834" s="5"/>
      <c r="O834" s="5"/>
      <c r="P834" s="5"/>
      <c r="Q834" s="5"/>
      <c r="R834" s="5"/>
      <c r="S834" s="5"/>
      <c r="T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18"/>
      <c r="K835" s="5"/>
      <c r="L835" s="5"/>
      <c r="M835" s="5"/>
      <c r="N835" s="5"/>
      <c r="O835" s="5"/>
      <c r="P835" s="5"/>
      <c r="Q835" s="5"/>
      <c r="R835" s="5"/>
      <c r="S835" s="5"/>
      <c r="T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18"/>
      <c r="K836" s="5"/>
      <c r="L836" s="5"/>
      <c r="M836" s="5"/>
      <c r="N836" s="5"/>
      <c r="O836" s="5"/>
      <c r="P836" s="5"/>
      <c r="Q836" s="5"/>
      <c r="R836" s="5"/>
      <c r="S836" s="5"/>
      <c r="T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18"/>
      <c r="K837" s="5"/>
      <c r="L837" s="5"/>
      <c r="M837" s="5"/>
      <c r="N837" s="5"/>
      <c r="O837" s="5"/>
      <c r="P837" s="5"/>
      <c r="Q837" s="5"/>
      <c r="R837" s="5"/>
      <c r="S837" s="5"/>
      <c r="T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18"/>
      <c r="K838" s="5"/>
      <c r="L838" s="5"/>
      <c r="M838" s="5"/>
      <c r="N838" s="5"/>
      <c r="O838" s="5"/>
      <c r="P838" s="5"/>
      <c r="Q838" s="5"/>
      <c r="R838" s="5"/>
      <c r="S838" s="5"/>
      <c r="T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18"/>
      <c r="K839" s="5"/>
      <c r="L839" s="5"/>
      <c r="M839" s="5"/>
      <c r="N839" s="5"/>
      <c r="O839" s="5"/>
      <c r="P839" s="5"/>
      <c r="Q839" s="5"/>
      <c r="R839" s="5"/>
      <c r="S839" s="5"/>
      <c r="T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18"/>
      <c r="K840" s="5"/>
      <c r="L840" s="5"/>
      <c r="M840" s="5"/>
      <c r="N840" s="5"/>
      <c r="O840" s="5"/>
      <c r="P840" s="5"/>
      <c r="Q840" s="5"/>
      <c r="R840" s="5"/>
      <c r="S840" s="5"/>
      <c r="T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18"/>
      <c r="K841" s="5"/>
      <c r="L841" s="5"/>
      <c r="M841" s="5"/>
      <c r="N841" s="5"/>
      <c r="O841" s="5"/>
      <c r="P841" s="5"/>
      <c r="Q841" s="5"/>
      <c r="R841" s="5"/>
      <c r="S841" s="5"/>
      <c r="T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18"/>
      <c r="K842" s="5"/>
      <c r="L842" s="5"/>
      <c r="M842" s="5"/>
      <c r="N842" s="5"/>
      <c r="O842" s="5"/>
      <c r="P842" s="5"/>
      <c r="Q842" s="5"/>
      <c r="R842" s="5"/>
      <c r="S842" s="5"/>
      <c r="T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18"/>
      <c r="K843" s="5"/>
      <c r="L843" s="5"/>
      <c r="M843" s="5"/>
      <c r="N843" s="5"/>
      <c r="O843" s="5"/>
      <c r="P843" s="5"/>
      <c r="Q843" s="5"/>
      <c r="R843" s="5"/>
      <c r="S843" s="5"/>
      <c r="T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18"/>
      <c r="K844" s="5"/>
      <c r="L844" s="5"/>
      <c r="M844" s="5"/>
      <c r="N844" s="5"/>
      <c r="O844" s="5"/>
      <c r="P844" s="5"/>
      <c r="Q844" s="5"/>
      <c r="R844" s="5"/>
      <c r="S844" s="5"/>
      <c r="T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18"/>
      <c r="K845" s="5"/>
      <c r="L845" s="5"/>
      <c r="M845" s="5"/>
      <c r="N845" s="5"/>
      <c r="O845" s="5"/>
      <c r="P845" s="5"/>
      <c r="Q845" s="5"/>
      <c r="R845" s="5"/>
      <c r="S845" s="5"/>
      <c r="T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18"/>
      <c r="K846" s="5"/>
      <c r="L846" s="5"/>
      <c r="M846" s="5"/>
      <c r="N846" s="5"/>
      <c r="O846" s="5"/>
      <c r="P846" s="5"/>
      <c r="Q846" s="5"/>
      <c r="R846" s="5"/>
      <c r="S846" s="5"/>
      <c r="T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18"/>
      <c r="K847" s="5"/>
      <c r="L847" s="5"/>
      <c r="M847" s="5"/>
      <c r="N847" s="5"/>
      <c r="O847" s="5"/>
      <c r="P847" s="5"/>
      <c r="Q847" s="5"/>
      <c r="R847" s="5"/>
      <c r="S847" s="5"/>
      <c r="T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18"/>
      <c r="K848" s="5"/>
      <c r="L848" s="5"/>
      <c r="M848" s="5"/>
      <c r="N848" s="5"/>
      <c r="O848" s="5"/>
      <c r="P848" s="5"/>
      <c r="Q848" s="5"/>
      <c r="R848" s="5"/>
      <c r="S848" s="5"/>
      <c r="T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18"/>
      <c r="K849" s="5"/>
      <c r="L849" s="5"/>
      <c r="M849" s="5"/>
      <c r="N849" s="5"/>
      <c r="O849" s="5"/>
      <c r="P849" s="5"/>
      <c r="Q849" s="5"/>
      <c r="R849" s="5"/>
      <c r="S849" s="5"/>
      <c r="T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18"/>
      <c r="K850" s="5"/>
      <c r="L850" s="5"/>
      <c r="M850" s="5"/>
      <c r="N850" s="5"/>
      <c r="O850" s="5"/>
      <c r="P850" s="5"/>
      <c r="Q850" s="5"/>
      <c r="R850" s="5"/>
      <c r="S850" s="5"/>
      <c r="T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18"/>
      <c r="K851" s="5"/>
      <c r="L851" s="5"/>
      <c r="M851" s="5"/>
      <c r="N851" s="5"/>
      <c r="O851" s="5"/>
      <c r="P851" s="5"/>
      <c r="Q851" s="5"/>
      <c r="R851" s="5"/>
      <c r="S851" s="5"/>
      <c r="T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18"/>
      <c r="K852" s="5"/>
      <c r="L852" s="5"/>
      <c r="M852" s="5"/>
      <c r="N852" s="5"/>
      <c r="O852" s="5"/>
      <c r="P852" s="5"/>
      <c r="Q852" s="5"/>
      <c r="R852" s="5"/>
      <c r="S852" s="5"/>
      <c r="T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18"/>
      <c r="K853" s="5"/>
      <c r="L853" s="5"/>
      <c r="M853" s="5"/>
      <c r="N853" s="5"/>
      <c r="O853" s="5"/>
      <c r="P853" s="5"/>
      <c r="Q853" s="5"/>
      <c r="R853" s="5"/>
      <c r="S853" s="5"/>
      <c r="T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18"/>
      <c r="K854" s="5"/>
      <c r="L854" s="5"/>
      <c r="M854" s="5"/>
      <c r="N854" s="5"/>
      <c r="O854" s="5"/>
      <c r="P854" s="5"/>
      <c r="Q854" s="5"/>
      <c r="R854" s="5"/>
      <c r="S854" s="5"/>
      <c r="T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18"/>
      <c r="K855" s="5"/>
      <c r="L855" s="5"/>
      <c r="M855" s="5"/>
      <c r="N855" s="5"/>
      <c r="O855" s="5"/>
      <c r="P855" s="5"/>
      <c r="Q855" s="5"/>
      <c r="R855" s="5"/>
      <c r="S855" s="5"/>
      <c r="T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18"/>
      <c r="K856" s="5"/>
      <c r="L856" s="5"/>
      <c r="M856" s="5"/>
      <c r="N856" s="5"/>
      <c r="O856" s="5"/>
      <c r="P856" s="5"/>
      <c r="Q856" s="5"/>
      <c r="R856" s="5"/>
      <c r="S856" s="5"/>
      <c r="T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18"/>
      <c r="K857" s="5"/>
      <c r="L857" s="5"/>
      <c r="M857" s="5"/>
      <c r="N857" s="5"/>
      <c r="O857" s="5"/>
      <c r="P857" s="5"/>
      <c r="Q857" s="5"/>
      <c r="R857" s="5"/>
      <c r="S857" s="5"/>
      <c r="T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18"/>
      <c r="K858" s="5"/>
      <c r="L858" s="5"/>
      <c r="M858" s="5"/>
      <c r="N858" s="5"/>
      <c r="O858" s="5"/>
      <c r="P858" s="5"/>
      <c r="Q858" s="5"/>
      <c r="R858" s="5"/>
      <c r="S858" s="5"/>
      <c r="T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18"/>
      <c r="K859" s="5"/>
      <c r="L859" s="5"/>
      <c r="M859" s="5"/>
      <c r="N859" s="5"/>
      <c r="O859" s="5"/>
      <c r="P859" s="5"/>
      <c r="Q859" s="5"/>
      <c r="R859" s="5"/>
      <c r="S859" s="5"/>
      <c r="T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18"/>
      <c r="K860" s="5"/>
      <c r="L860" s="5"/>
      <c r="M860" s="5"/>
      <c r="N860" s="5"/>
      <c r="O860" s="5"/>
      <c r="P860" s="5"/>
      <c r="Q860" s="5"/>
      <c r="R860" s="5"/>
      <c r="S860" s="5"/>
      <c r="T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18"/>
      <c r="K861" s="5"/>
      <c r="L861" s="5"/>
      <c r="M861" s="5"/>
      <c r="N861" s="5"/>
      <c r="O861" s="5"/>
      <c r="P861" s="5"/>
      <c r="Q861" s="5"/>
      <c r="R861" s="5"/>
      <c r="S861" s="5"/>
      <c r="T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18"/>
      <c r="K862" s="5"/>
      <c r="L862" s="5"/>
      <c r="M862" s="5"/>
      <c r="N862" s="5"/>
      <c r="O862" s="5"/>
      <c r="P862" s="5"/>
      <c r="Q862" s="5"/>
      <c r="R862" s="5"/>
      <c r="S862" s="5"/>
      <c r="T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18"/>
      <c r="K863" s="5"/>
      <c r="L863" s="5"/>
      <c r="M863" s="5"/>
      <c r="N863" s="5"/>
      <c r="O863" s="5"/>
      <c r="P863" s="5"/>
      <c r="Q863" s="5"/>
      <c r="R863" s="5"/>
      <c r="S863" s="5"/>
      <c r="T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18"/>
      <c r="K864" s="5"/>
      <c r="L864" s="5"/>
      <c r="M864" s="5"/>
      <c r="N864" s="5"/>
      <c r="O864" s="5"/>
      <c r="P864" s="5"/>
      <c r="Q864" s="5"/>
      <c r="R864" s="5"/>
      <c r="S864" s="5"/>
      <c r="T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18"/>
      <c r="K865" s="5"/>
      <c r="L865" s="5"/>
      <c r="M865" s="5"/>
      <c r="N865" s="5"/>
      <c r="O865" s="5"/>
      <c r="P865" s="5"/>
      <c r="Q865" s="5"/>
      <c r="R865" s="5"/>
      <c r="S865" s="5"/>
      <c r="T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18"/>
      <c r="K866" s="5"/>
      <c r="L866" s="5"/>
      <c r="M866" s="5"/>
      <c r="N866" s="5"/>
      <c r="O866" s="5"/>
      <c r="P866" s="5"/>
      <c r="Q866" s="5"/>
      <c r="R866" s="5"/>
      <c r="S866" s="5"/>
      <c r="T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18"/>
      <c r="K867" s="5"/>
      <c r="L867" s="5"/>
      <c r="M867" s="5"/>
      <c r="N867" s="5"/>
      <c r="O867" s="5"/>
      <c r="P867" s="5"/>
      <c r="Q867" s="5"/>
      <c r="R867" s="5"/>
      <c r="S867" s="5"/>
      <c r="T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18"/>
      <c r="K868" s="5"/>
      <c r="L868" s="5"/>
      <c r="M868" s="5"/>
      <c r="N868" s="5"/>
      <c r="O868" s="5"/>
      <c r="P868" s="5"/>
      <c r="Q868" s="5"/>
      <c r="R868" s="5"/>
      <c r="S868" s="5"/>
      <c r="T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18"/>
      <c r="K869" s="5"/>
      <c r="L869" s="5"/>
      <c r="M869" s="5"/>
      <c r="N869" s="5"/>
      <c r="O869" s="5"/>
      <c r="P869" s="5"/>
      <c r="Q869" s="5"/>
      <c r="R869" s="5"/>
      <c r="S869" s="5"/>
      <c r="T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18"/>
      <c r="K870" s="5"/>
      <c r="L870" s="5"/>
      <c r="M870" s="5"/>
      <c r="N870" s="5"/>
      <c r="O870" s="5"/>
      <c r="P870" s="5"/>
      <c r="Q870" s="5"/>
      <c r="R870" s="5"/>
      <c r="S870" s="5"/>
      <c r="T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18"/>
      <c r="K871" s="5"/>
      <c r="L871" s="5"/>
      <c r="M871" s="5"/>
      <c r="N871" s="5"/>
      <c r="O871" s="5"/>
      <c r="P871" s="5"/>
      <c r="Q871" s="5"/>
      <c r="R871" s="5"/>
      <c r="S871" s="5"/>
      <c r="T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18"/>
      <c r="K872" s="5"/>
      <c r="L872" s="5"/>
      <c r="M872" s="5"/>
      <c r="N872" s="5"/>
      <c r="O872" s="5"/>
      <c r="P872" s="5"/>
      <c r="Q872" s="5"/>
      <c r="R872" s="5"/>
      <c r="S872" s="5"/>
      <c r="T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18"/>
      <c r="K873" s="5"/>
      <c r="L873" s="5"/>
      <c r="M873" s="5"/>
      <c r="N873" s="5"/>
      <c r="O873" s="5"/>
      <c r="P873" s="5"/>
      <c r="Q873" s="5"/>
      <c r="R873" s="5"/>
      <c r="S873" s="5"/>
      <c r="T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18"/>
      <c r="K874" s="5"/>
      <c r="L874" s="5"/>
      <c r="M874" s="5"/>
      <c r="N874" s="5"/>
      <c r="O874" s="5"/>
      <c r="P874" s="5"/>
      <c r="Q874" s="5"/>
      <c r="R874" s="5"/>
      <c r="S874" s="5"/>
      <c r="T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18"/>
      <c r="K875" s="5"/>
      <c r="L875" s="5"/>
      <c r="M875" s="5"/>
      <c r="N875" s="5"/>
      <c r="O875" s="5"/>
      <c r="P875" s="5"/>
      <c r="Q875" s="5"/>
      <c r="R875" s="5"/>
      <c r="S875" s="5"/>
      <c r="T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18"/>
      <c r="K876" s="5"/>
      <c r="L876" s="5"/>
      <c r="M876" s="5"/>
      <c r="N876" s="5"/>
      <c r="O876" s="5"/>
      <c r="P876" s="5"/>
      <c r="Q876" s="5"/>
      <c r="R876" s="5"/>
      <c r="S876" s="5"/>
      <c r="T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18"/>
      <c r="K877" s="5"/>
      <c r="L877" s="5"/>
      <c r="M877" s="5"/>
      <c r="N877" s="5"/>
      <c r="O877" s="5"/>
      <c r="P877" s="5"/>
      <c r="Q877" s="5"/>
      <c r="R877" s="5"/>
      <c r="S877" s="5"/>
      <c r="T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18"/>
      <c r="K878" s="5"/>
      <c r="L878" s="5"/>
      <c r="M878" s="5"/>
      <c r="N878" s="5"/>
      <c r="O878" s="5"/>
      <c r="P878" s="5"/>
      <c r="Q878" s="5"/>
      <c r="R878" s="5"/>
      <c r="S878" s="5"/>
      <c r="T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18"/>
      <c r="K879" s="5"/>
      <c r="L879" s="5"/>
      <c r="M879" s="5"/>
      <c r="N879" s="5"/>
      <c r="O879" s="5"/>
      <c r="P879" s="5"/>
      <c r="Q879" s="5"/>
      <c r="R879" s="5"/>
      <c r="S879" s="5"/>
      <c r="T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18"/>
      <c r="K880" s="5"/>
      <c r="L880" s="5"/>
      <c r="M880" s="5"/>
      <c r="N880" s="5"/>
      <c r="O880" s="5"/>
      <c r="P880" s="5"/>
      <c r="Q880" s="5"/>
      <c r="R880" s="5"/>
      <c r="S880" s="5"/>
      <c r="T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18"/>
      <c r="K881" s="5"/>
      <c r="L881" s="5"/>
      <c r="M881" s="5"/>
      <c r="N881" s="5"/>
      <c r="O881" s="5"/>
      <c r="P881" s="5"/>
      <c r="Q881" s="5"/>
      <c r="R881" s="5"/>
      <c r="S881" s="5"/>
      <c r="T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18"/>
      <c r="K882" s="5"/>
      <c r="L882" s="5"/>
      <c r="M882" s="5"/>
      <c r="N882" s="5"/>
      <c r="O882" s="5"/>
      <c r="P882" s="5"/>
      <c r="Q882" s="5"/>
      <c r="R882" s="5"/>
      <c r="S882" s="5"/>
      <c r="T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18"/>
      <c r="K883" s="5"/>
      <c r="L883" s="5"/>
      <c r="M883" s="5"/>
      <c r="N883" s="5"/>
      <c r="O883" s="5"/>
      <c r="P883" s="5"/>
      <c r="Q883" s="5"/>
      <c r="R883" s="5"/>
      <c r="S883" s="5"/>
      <c r="T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18"/>
      <c r="K884" s="5"/>
      <c r="L884" s="5"/>
      <c r="M884" s="5"/>
      <c r="N884" s="5"/>
      <c r="O884" s="5"/>
      <c r="P884" s="5"/>
      <c r="Q884" s="5"/>
      <c r="R884" s="5"/>
      <c r="S884" s="5"/>
      <c r="T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18"/>
      <c r="K885" s="5"/>
      <c r="L885" s="5"/>
      <c r="M885" s="5"/>
      <c r="N885" s="5"/>
      <c r="O885" s="5"/>
      <c r="P885" s="5"/>
      <c r="Q885" s="5"/>
      <c r="R885" s="5"/>
      <c r="S885" s="5"/>
      <c r="T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18"/>
      <c r="K886" s="5"/>
      <c r="L886" s="5"/>
      <c r="M886" s="5"/>
      <c r="N886" s="5"/>
      <c r="O886" s="5"/>
      <c r="P886" s="5"/>
      <c r="Q886" s="5"/>
      <c r="R886" s="5"/>
      <c r="S886" s="5"/>
      <c r="T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18"/>
      <c r="K887" s="5"/>
      <c r="L887" s="5"/>
      <c r="M887" s="5"/>
      <c r="N887" s="5"/>
      <c r="O887" s="5"/>
      <c r="P887" s="5"/>
      <c r="Q887" s="5"/>
      <c r="R887" s="5"/>
      <c r="S887" s="5"/>
      <c r="T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18"/>
      <c r="K888" s="5"/>
      <c r="L888" s="5"/>
      <c r="M888" s="5"/>
      <c r="N888" s="5"/>
      <c r="O888" s="5"/>
      <c r="P888" s="5"/>
      <c r="Q888" s="5"/>
      <c r="R888" s="5"/>
      <c r="S888" s="5"/>
      <c r="T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18"/>
      <c r="K889" s="5"/>
      <c r="L889" s="5"/>
      <c r="M889" s="5"/>
      <c r="N889" s="5"/>
      <c r="O889" s="5"/>
      <c r="P889" s="5"/>
      <c r="Q889" s="5"/>
      <c r="R889" s="5"/>
      <c r="S889" s="5"/>
      <c r="T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18"/>
      <c r="K890" s="5"/>
      <c r="L890" s="5"/>
      <c r="M890" s="5"/>
      <c r="N890" s="5"/>
      <c r="O890" s="5"/>
      <c r="P890" s="5"/>
      <c r="Q890" s="5"/>
      <c r="R890" s="5"/>
      <c r="S890" s="5"/>
      <c r="T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18"/>
      <c r="K891" s="5"/>
      <c r="L891" s="5"/>
      <c r="M891" s="5"/>
      <c r="N891" s="5"/>
      <c r="O891" s="5"/>
      <c r="P891" s="5"/>
      <c r="Q891" s="5"/>
      <c r="R891" s="5"/>
      <c r="S891" s="5"/>
      <c r="T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18"/>
      <c r="K892" s="5"/>
      <c r="L892" s="5"/>
      <c r="M892" s="5"/>
      <c r="N892" s="5"/>
      <c r="O892" s="5"/>
      <c r="P892" s="5"/>
      <c r="Q892" s="5"/>
      <c r="R892" s="5"/>
      <c r="S892" s="5"/>
      <c r="T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18"/>
      <c r="K893" s="5"/>
      <c r="L893" s="5"/>
      <c r="M893" s="5"/>
      <c r="N893" s="5"/>
      <c r="O893" s="5"/>
      <c r="P893" s="5"/>
      <c r="Q893" s="5"/>
      <c r="R893" s="5"/>
      <c r="S893" s="5"/>
      <c r="T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18"/>
      <c r="K894" s="5"/>
      <c r="L894" s="5"/>
      <c r="M894" s="5"/>
      <c r="N894" s="5"/>
      <c r="O894" s="5"/>
      <c r="P894" s="5"/>
      <c r="Q894" s="5"/>
      <c r="R894" s="5"/>
      <c r="S894" s="5"/>
      <c r="T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18"/>
      <c r="K895" s="5"/>
      <c r="L895" s="5"/>
      <c r="M895" s="5"/>
      <c r="N895" s="5"/>
      <c r="O895" s="5"/>
      <c r="P895" s="5"/>
      <c r="Q895" s="5"/>
      <c r="R895" s="5"/>
      <c r="S895" s="5"/>
      <c r="T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18"/>
      <c r="K896" s="5"/>
      <c r="L896" s="5"/>
      <c r="M896" s="5"/>
      <c r="N896" s="5"/>
      <c r="O896" s="5"/>
      <c r="P896" s="5"/>
      <c r="Q896" s="5"/>
      <c r="R896" s="5"/>
      <c r="S896" s="5"/>
      <c r="T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18"/>
      <c r="K897" s="5"/>
      <c r="L897" s="5"/>
      <c r="M897" s="5"/>
      <c r="N897" s="5"/>
      <c r="O897" s="5"/>
      <c r="P897" s="5"/>
      <c r="Q897" s="5"/>
      <c r="R897" s="5"/>
      <c r="S897" s="5"/>
      <c r="T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18"/>
      <c r="K898" s="5"/>
      <c r="L898" s="5"/>
      <c r="M898" s="5"/>
      <c r="N898" s="5"/>
      <c r="O898" s="5"/>
      <c r="P898" s="5"/>
      <c r="Q898" s="5"/>
      <c r="R898" s="5"/>
      <c r="S898" s="5"/>
      <c r="T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18"/>
      <c r="K899" s="5"/>
      <c r="L899" s="5"/>
      <c r="M899" s="5"/>
      <c r="N899" s="5"/>
      <c r="O899" s="5"/>
      <c r="P899" s="5"/>
      <c r="Q899" s="5"/>
      <c r="R899" s="5"/>
      <c r="S899" s="5"/>
      <c r="T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18"/>
      <c r="K900" s="5"/>
      <c r="L900" s="5"/>
      <c r="M900" s="5"/>
      <c r="N900" s="5"/>
      <c r="O900" s="5"/>
      <c r="P900" s="5"/>
      <c r="Q900" s="5"/>
      <c r="R900" s="5"/>
      <c r="S900" s="5"/>
      <c r="T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18"/>
      <c r="K901" s="5"/>
      <c r="L901" s="5"/>
      <c r="M901" s="5"/>
      <c r="N901" s="5"/>
      <c r="O901" s="5"/>
      <c r="P901" s="5"/>
      <c r="Q901" s="5"/>
      <c r="R901" s="5"/>
      <c r="S901" s="5"/>
      <c r="T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18"/>
      <c r="K902" s="5"/>
      <c r="L902" s="5"/>
      <c r="M902" s="5"/>
      <c r="N902" s="5"/>
      <c r="O902" s="5"/>
      <c r="P902" s="5"/>
      <c r="Q902" s="5"/>
      <c r="R902" s="5"/>
      <c r="S902" s="5"/>
      <c r="T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18"/>
      <c r="K903" s="5"/>
      <c r="L903" s="5"/>
      <c r="M903" s="5"/>
      <c r="N903" s="5"/>
      <c r="O903" s="5"/>
      <c r="P903" s="5"/>
      <c r="Q903" s="5"/>
      <c r="R903" s="5"/>
      <c r="S903" s="5"/>
      <c r="T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18"/>
      <c r="K904" s="5"/>
      <c r="L904" s="5"/>
      <c r="M904" s="5"/>
      <c r="N904" s="5"/>
      <c r="O904" s="5"/>
      <c r="P904" s="5"/>
      <c r="Q904" s="5"/>
      <c r="R904" s="5"/>
      <c r="S904" s="5"/>
      <c r="T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18"/>
      <c r="K905" s="5"/>
      <c r="L905" s="5"/>
      <c r="M905" s="5"/>
      <c r="N905" s="5"/>
      <c r="O905" s="5"/>
      <c r="P905" s="5"/>
      <c r="Q905" s="5"/>
      <c r="R905" s="5"/>
      <c r="S905" s="5"/>
      <c r="T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18"/>
      <c r="K906" s="5"/>
      <c r="L906" s="5"/>
      <c r="M906" s="5"/>
      <c r="N906" s="5"/>
      <c r="O906" s="5"/>
      <c r="P906" s="5"/>
      <c r="Q906" s="5"/>
      <c r="R906" s="5"/>
      <c r="S906" s="5"/>
      <c r="T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18"/>
      <c r="K907" s="5"/>
      <c r="L907" s="5"/>
      <c r="M907" s="5"/>
      <c r="N907" s="5"/>
      <c r="O907" s="5"/>
      <c r="P907" s="5"/>
      <c r="Q907" s="5"/>
      <c r="R907" s="5"/>
      <c r="S907" s="5"/>
      <c r="T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18"/>
      <c r="K908" s="5"/>
      <c r="L908" s="5"/>
      <c r="M908" s="5"/>
      <c r="N908" s="5"/>
      <c r="O908" s="5"/>
      <c r="P908" s="5"/>
      <c r="Q908" s="5"/>
      <c r="R908" s="5"/>
      <c r="S908" s="5"/>
      <c r="T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18"/>
      <c r="K909" s="5"/>
      <c r="L909" s="5"/>
      <c r="M909" s="5"/>
      <c r="N909" s="5"/>
      <c r="O909" s="5"/>
      <c r="P909" s="5"/>
      <c r="Q909" s="5"/>
      <c r="R909" s="5"/>
      <c r="S909" s="5"/>
      <c r="T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18"/>
      <c r="K910" s="5"/>
      <c r="L910" s="5"/>
      <c r="M910" s="5"/>
      <c r="N910" s="5"/>
      <c r="O910" s="5"/>
      <c r="P910" s="5"/>
      <c r="Q910" s="5"/>
      <c r="R910" s="5"/>
      <c r="S910" s="5"/>
      <c r="T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18"/>
      <c r="K911" s="5"/>
      <c r="L911" s="5"/>
      <c r="M911" s="5"/>
      <c r="N911" s="5"/>
      <c r="O911" s="5"/>
      <c r="P911" s="5"/>
      <c r="Q911" s="5"/>
      <c r="R911" s="5"/>
      <c r="S911" s="5"/>
      <c r="T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18"/>
      <c r="K912" s="5"/>
      <c r="L912" s="5"/>
      <c r="M912" s="5"/>
      <c r="N912" s="5"/>
      <c r="O912" s="5"/>
      <c r="P912" s="5"/>
      <c r="Q912" s="5"/>
      <c r="R912" s="5"/>
      <c r="S912" s="5"/>
      <c r="T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18"/>
      <c r="K913" s="5"/>
      <c r="L913" s="5"/>
      <c r="M913" s="5"/>
      <c r="N913" s="5"/>
      <c r="O913" s="5"/>
      <c r="P913" s="5"/>
      <c r="Q913" s="5"/>
      <c r="R913" s="5"/>
      <c r="S913" s="5"/>
      <c r="T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18"/>
      <c r="K914" s="5"/>
      <c r="L914" s="5"/>
      <c r="M914" s="5"/>
      <c r="N914" s="5"/>
      <c r="O914" s="5"/>
      <c r="P914" s="5"/>
      <c r="Q914" s="5"/>
      <c r="R914" s="5"/>
      <c r="S914" s="5"/>
      <c r="T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18"/>
      <c r="K915" s="5"/>
      <c r="L915" s="5"/>
      <c r="M915" s="5"/>
      <c r="N915" s="5"/>
      <c r="O915" s="5"/>
      <c r="P915" s="5"/>
      <c r="Q915" s="5"/>
      <c r="R915" s="5"/>
      <c r="S915" s="5"/>
      <c r="T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18"/>
      <c r="K916" s="5"/>
      <c r="L916" s="5"/>
      <c r="M916" s="5"/>
      <c r="N916" s="5"/>
      <c r="O916" s="5"/>
      <c r="P916" s="5"/>
      <c r="Q916" s="5"/>
      <c r="R916" s="5"/>
      <c r="S916" s="5"/>
      <c r="T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18"/>
      <c r="K917" s="5"/>
      <c r="L917" s="5"/>
      <c r="M917" s="5"/>
      <c r="N917" s="5"/>
      <c r="O917" s="5"/>
      <c r="P917" s="5"/>
      <c r="Q917" s="5"/>
      <c r="R917" s="5"/>
      <c r="S917" s="5"/>
      <c r="T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18"/>
      <c r="K918" s="5"/>
      <c r="L918" s="5"/>
      <c r="M918" s="5"/>
      <c r="N918" s="5"/>
      <c r="O918" s="5"/>
      <c r="P918" s="5"/>
      <c r="Q918" s="5"/>
      <c r="R918" s="5"/>
      <c r="S918" s="5"/>
      <c r="T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18"/>
      <c r="K919" s="5"/>
      <c r="L919" s="5"/>
      <c r="M919" s="5"/>
      <c r="N919" s="5"/>
      <c r="O919" s="5"/>
      <c r="P919" s="5"/>
      <c r="Q919" s="5"/>
      <c r="R919" s="5"/>
      <c r="S919" s="5"/>
      <c r="T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18"/>
      <c r="K920" s="5"/>
      <c r="L920" s="5"/>
      <c r="M920" s="5"/>
      <c r="N920" s="5"/>
      <c r="O920" s="5"/>
      <c r="P920" s="5"/>
      <c r="Q920" s="5"/>
      <c r="R920" s="5"/>
      <c r="S920" s="5"/>
      <c r="T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18"/>
      <c r="K921" s="5"/>
      <c r="L921" s="5"/>
      <c r="M921" s="5"/>
      <c r="N921" s="5"/>
      <c r="O921" s="5"/>
      <c r="P921" s="5"/>
      <c r="Q921" s="5"/>
      <c r="R921" s="5"/>
      <c r="S921" s="5"/>
      <c r="T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18"/>
      <c r="K922" s="5"/>
      <c r="L922" s="5"/>
      <c r="M922" s="5"/>
      <c r="N922" s="5"/>
      <c r="O922" s="5"/>
      <c r="P922" s="5"/>
      <c r="Q922" s="5"/>
      <c r="R922" s="5"/>
      <c r="S922" s="5"/>
      <c r="T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18"/>
      <c r="K923" s="5"/>
      <c r="L923" s="5"/>
      <c r="M923" s="5"/>
      <c r="N923" s="5"/>
      <c r="O923" s="5"/>
      <c r="P923" s="5"/>
      <c r="Q923" s="5"/>
      <c r="R923" s="5"/>
      <c r="S923" s="5"/>
      <c r="T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18"/>
      <c r="K924" s="5"/>
      <c r="L924" s="5"/>
      <c r="M924" s="5"/>
      <c r="N924" s="5"/>
      <c r="O924" s="5"/>
      <c r="P924" s="5"/>
      <c r="Q924" s="5"/>
      <c r="R924" s="5"/>
      <c r="S924" s="5"/>
      <c r="T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18"/>
      <c r="K925" s="5"/>
      <c r="L925" s="5"/>
      <c r="M925" s="5"/>
      <c r="N925" s="5"/>
      <c r="O925" s="5"/>
      <c r="P925" s="5"/>
      <c r="Q925" s="5"/>
      <c r="R925" s="5"/>
      <c r="S925" s="5"/>
      <c r="T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18"/>
      <c r="K926" s="5"/>
      <c r="L926" s="5"/>
      <c r="M926" s="5"/>
      <c r="N926" s="5"/>
      <c r="O926" s="5"/>
      <c r="P926" s="5"/>
      <c r="Q926" s="5"/>
      <c r="R926" s="5"/>
      <c r="S926" s="5"/>
      <c r="T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18"/>
      <c r="K927" s="5"/>
      <c r="L927" s="5"/>
      <c r="M927" s="5"/>
      <c r="N927" s="5"/>
      <c r="O927" s="5"/>
      <c r="P927" s="5"/>
      <c r="Q927" s="5"/>
      <c r="R927" s="5"/>
      <c r="S927" s="5"/>
      <c r="T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18"/>
      <c r="K928" s="5"/>
      <c r="L928" s="5"/>
      <c r="M928" s="5"/>
      <c r="N928" s="5"/>
      <c r="O928" s="5"/>
      <c r="P928" s="5"/>
      <c r="Q928" s="5"/>
      <c r="R928" s="5"/>
      <c r="S928" s="5"/>
      <c r="T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18"/>
      <c r="K929" s="5"/>
      <c r="L929" s="5"/>
      <c r="M929" s="5"/>
      <c r="N929" s="5"/>
      <c r="O929" s="5"/>
      <c r="P929" s="5"/>
      <c r="Q929" s="5"/>
      <c r="R929" s="5"/>
      <c r="S929" s="5"/>
      <c r="T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18"/>
      <c r="K930" s="5"/>
      <c r="L930" s="5"/>
      <c r="M930" s="5"/>
      <c r="N930" s="5"/>
      <c r="O930" s="5"/>
      <c r="P930" s="5"/>
      <c r="Q930" s="5"/>
      <c r="R930" s="5"/>
      <c r="S930" s="5"/>
      <c r="T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18"/>
      <c r="K931" s="5"/>
      <c r="L931" s="5"/>
      <c r="M931" s="5"/>
      <c r="N931" s="5"/>
      <c r="O931" s="5"/>
      <c r="P931" s="5"/>
      <c r="Q931" s="5"/>
      <c r="R931" s="5"/>
      <c r="S931" s="5"/>
      <c r="T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18"/>
      <c r="K932" s="5"/>
      <c r="L932" s="5"/>
      <c r="M932" s="5"/>
      <c r="N932" s="5"/>
      <c r="O932" s="5"/>
      <c r="P932" s="5"/>
      <c r="Q932" s="5"/>
      <c r="R932" s="5"/>
      <c r="S932" s="5"/>
      <c r="T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18"/>
      <c r="K933" s="5"/>
      <c r="L933" s="5"/>
      <c r="M933" s="5"/>
      <c r="N933" s="5"/>
      <c r="O933" s="5"/>
      <c r="P933" s="5"/>
      <c r="Q933" s="5"/>
      <c r="R933" s="5"/>
      <c r="S933" s="5"/>
      <c r="T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18"/>
      <c r="K934" s="5"/>
      <c r="L934" s="5"/>
      <c r="M934" s="5"/>
      <c r="N934" s="5"/>
      <c r="O934" s="5"/>
      <c r="P934" s="5"/>
      <c r="Q934" s="5"/>
      <c r="R934" s="5"/>
      <c r="S934" s="5"/>
      <c r="T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18"/>
      <c r="K935" s="5"/>
      <c r="L935" s="5"/>
      <c r="M935" s="5"/>
      <c r="N935" s="5"/>
      <c r="O935" s="5"/>
      <c r="P935" s="5"/>
      <c r="Q935" s="5"/>
      <c r="R935" s="5"/>
      <c r="S935" s="5"/>
      <c r="T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18"/>
      <c r="K936" s="5"/>
      <c r="L936" s="5"/>
      <c r="M936" s="5"/>
      <c r="N936" s="5"/>
      <c r="O936" s="5"/>
      <c r="P936" s="5"/>
      <c r="Q936" s="5"/>
      <c r="R936" s="5"/>
      <c r="S936" s="5"/>
      <c r="T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18"/>
      <c r="K937" s="5"/>
      <c r="L937" s="5"/>
      <c r="M937" s="5"/>
      <c r="N937" s="5"/>
      <c r="O937" s="5"/>
      <c r="P937" s="5"/>
      <c r="Q937" s="5"/>
      <c r="R937" s="5"/>
      <c r="S937" s="5"/>
      <c r="T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18"/>
      <c r="K938" s="5"/>
      <c r="L938" s="5"/>
      <c r="M938" s="5"/>
      <c r="N938" s="5"/>
      <c r="O938" s="5"/>
      <c r="P938" s="5"/>
      <c r="Q938" s="5"/>
      <c r="R938" s="5"/>
      <c r="S938" s="5"/>
      <c r="T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18"/>
      <c r="K939" s="5"/>
      <c r="L939" s="5"/>
      <c r="M939" s="5"/>
      <c r="N939" s="5"/>
      <c r="O939" s="5"/>
      <c r="P939" s="5"/>
      <c r="Q939" s="5"/>
      <c r="R939" s="5"/>
      <c r="S939" s="5"/>
      <c r="T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18"/>
      <c r="K940" s="5"/>
      <c r="L940" s="5"/>
      <c r="M940" s="5"/>
      <c r="N940" s="5"/>
      <c r="O940" s="5"/>
      <c r="P940" s="5"/>
      <c r="Q940" s="5"/>
      <c r="R940" s="5"/>
      <c r="S940" s="5"/>
      <c r="T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18"/>
      <c r="K941" s="5"/>
      <c r="L941" s="5"/>
      <c r="M941" s="5"/>
      <c r="N941" s="5"/>
      <c r="O941" s="5"/>
      <c r="P941" s="5"/>
      <c r="Q941" s="5"/>
      <c r="R941" s="5"/>
      <c r="S941" s="5"/>
      <c r="T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18"/>
      <c r="K942" s="5"/>
      <c r="L942" s="5"/>
      <c r="M942" s="5"/>
      <c r="N942" s="5"/>
      <c r="O942" s="5"/>
      <c r="P942" s="5"/>
      <c r="Q942" s="5"/>
      <c r="R942" s="5"/>
      <c r="S942" s="5"/>
      <c r="T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18"/>
      <c r="K943" s="5"/>
      <c r="L943" s="5"/>
      <c r="M943" s="5"/>
      <c r="N943" s="5"/>
      <c r="O943" s="5"/>
      <c r="P943" s="5"/>
      <c r="Q943" s="5"/>
      <c r="R943" s="5"/>
      <c r="S943" s="5"/>
      <c r="T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18"/>
      <c r="K944" s="5"/>
      <c r="L944" s="5"/>
      <c r="M944" s="5"/>
      <c r="N944" s="5"/>
      <c r="O944" s="5"/>
      <c r="P944" s="5"/>
      <c r="Q944" s="5"/>
      <c r="R944" s="5"/>
      <c r="S944" s="5"/>
      <c r="T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18"/>
      <c r="K945" s="5"/>
      <c r="L945" s="5"/>
      <c r="M945" s="5"/>
      <c r="N945" s="5"/>
      <c r="O945" s="5"/>
      <c r="P945" s="5"/>
      <c r="Q945" s="5"/>
      <c r="R945" s="5"/>
      <c r="S945" s="5"/>
      <c r="T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18"/>
      <c r="K946" s="5"/>
      <c r="L946" s="5"/>
      <c r="M946" s="5"/>
      <c r="N946" s="5"/>
      <c r="O946" s="5"/>
      <c r="P946" s="5"/>
      <c r="Q946" s="5"/>
      <c r="R946" s="5"/>
      <c r="S946" s="5"/>
      <c r="T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18"/>
      <c r="K947" s="5"/>
      <c r="L947" s="5"/>
      <c r="M947" s="5"/>
      <c r="N947" s="5"/>
      <c r="O947" s="5"/>
      <c r="P947" s="5"/>
      <c r="Q947" s="5"/>
      <c r="R947" s="5"/>
      <c r="S947" s="5"/>
      <c r="T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18"/>
      <c r="K948" s="5"/>
      <c r="L948" s="5"/>
      <c r="M948" s="5"/>
      <c r="N948" s="5"/>
      <c r="O948" s="5"/>
      <c r="P948" s="5"/>
      <c r="Q948" s="5"/>
      <c r="R948" s="5"/>
      <c r="S948" s="5"/>
      <c r="T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18"/>
      <c r="K949" s="5"/>
      <c r="L949" s="5"/>
      <c r="M949" s="5"/>
      <c r="N949" s="5"/>
      <c r="O949" s="5"/>
      <c r="P949" s="5"/>
      <c r="Q949" s="5"/>
      <c r="R949" s="5"/>
      <c r="S949" s="5"/>
      <c r="T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18"/>
      <c r="K950" s="5"/>
      <c r="L950" s="5"/>
      <c r="M950" s="5"/>
      <c r="N950" s="5"/>
      <c r="O950" s="5"/>
      <c r="P950" s="5"/>
      <c r="Q950" s="5"/>
      <c r="R950" s="5"/>
      <c r="S950" s="5"/>
      <c r="T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18"/>
      <c r="K951" s="5"/>
      <c r="L951" s="5"/>
      <c r="M951" s="5"/>
      <c r="N951" s="5"/>
      <c r="O951" s="5"/>
      <c r="P951" s="5"/>
      <c r="Q951" s="5"/>
      <c r="R951" s="5"/>
      <c r="S951" s="5"/>
      <c r="T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18"/>
      <c r="K952" s="5"/>
      <c r="L952" s="5"/>
      <c r="M952" s="5"/>
      <c r="N952" s="5"/>
      <c r="O952" s="5"/>
      <c r="P952" s="5"/>
      <c r="Q952" s="5"/>
      <c r="R952" s="5"/>
      <c r="S952" s="5"/>
      <c r="T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18"/>
      <c r="K953" s="5"/>
      <c r="L953" s="5"/>
      <c r="M953" s="5"/>
      <c r="N953" s="5"/>
      <c r="O953" s="5"/>
      <c r="P953" s="5"/>
      <c r="Q953" s="5"/>
      <c r="R953" s="5"/>
      <c r="S953" s="5"/>
      <c r="T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18"/>
      <c r="K954" s="5"/>
      <c r="L954" s="5"/>
      <c r="M954" s="5"/>
      <c r="N954" s="5"/>
      <c r="O954" s="5"/>
      <c r="P954" s="5"/>
      <c r="Q954" s="5"/>
      <c r="R954" s="5"/>
      <c r="S954" s="5"/>
      <c r="T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18"/>
      <c r="K955" s="5"/>
      <c r="L955" s="5"/>
      <c r="M955" s="5"/>
      <c r="N955" s="5"/>
      <c r="O955" s="5"/>
      <c r="P955" s="5"/>
      <c r="Q955" s="5"/>
      <c r="R955" s="5"/>
      <c r="S955" s="5"/>
      <c r="T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18"/>
      <c r="K956" s="5"/>
      <c r="L956" s="5"/>
      <c r="M956" s="5"/>
      <c r="N956" s="5"/>
      <c r="O956" s="5"/>
      <c r="P956" s="5"/>
      <c r="Q956" s="5"/>
      <c r="R956" s="5"/>
      <c r="S956" s="5"/>
      <c r="T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18"/>
      <c r="K957" s="5"/>
      <c r="L957" s="5"/>
      <c r="M957" s="5"/>
      <c r="N957" s="5"/>
      <c r="O957" s="5"/>
      <c r="P957" s="5"/>
      <c r="Q957" s="5"/>
      <c r="R957" s="5"/>
      <c r="S957" s="5"/>
      <c r="T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18"/>
      <c r="K958" s="5"/>
      <c r="L958" s="5"/>
      <c r="M958" s="5"/>
      <c r="N958" s="5"/>
      <c r="O958" s="5"/>
      <c r="P958" s="5"/>
      <c r="Q958" s="5"/>
      <c r="R958" s="5"/>
      <c r="S958" s="5"/>
      <c r="T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18"/>
      <c r="K959" s="5"/>
      <c r="L959" s="5"/>
      <c r="M959" s="5"/>
      <c r="N959" s="5"/>
      <c r="O959" s="5"/>
      <c r="P959" s="5"/>
      <c r="Q959" s="5"/>
      <c r="R959" s="5"/>
      <c r="S959" s="5"/>
      <c r="T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18"/>
      <c r="K960" s="5"/>
      <c r="L960" s="5"/>
      <c r="M960" s="5"/>
      <c r="N960" s="5"/>
      <c r="O960" s="5"/>
      <c r="P960" s="5"/>
      <c r="Q960" s="5"/>
      <c r="R960" s="5"/>
      <c r="S960" s="5"/>
      <c r="T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18"/>
      <c r="K961" s="5"/>
      <c r="L961" s="5"/>
      <c r="M961" s="5"/>
      <c r="N961" s="5"/>
      <c r="O961" s="5"/>
      <c r="P961" s="5"/>
      <c r="Q961" s="5"/>
      <c r="R961" s="5"/>
      <c r="S961" s="5"/>
      <c r="T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18"/>
      <c r="K962" s="5"/>
      <c r="L962" s="5"/>
      <c r="M962" s="5"/>
      <c r="N962" s="5"/>
      <c r="O962" s="5"/>
      <c r="P962" s="5"/>
      <c r="Q962" s="5"/>
      <c r="R962" s="5"/>
      <c r="S962" s="5"/>
      <c r="T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18"/>
      <c r="K963" s="5"/>
      <c r="L963" s="5"/>
      <c r="M963" s="5"/>
      <c r="N963" s="5"/>
      <c r="O963" s="5"/>
      <c r="P963" s="5"/>
      <c r="Q963" s="5"/>
      <c r="R963" s="5"/>
      <c r="S963" s="5"/>
      <c r="T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18"/>
      <c r="K964" s="5"/>
      <c r="L964" s="5"/>
      <c r="M964" s="5"/>
      <c r="N964" s="5"/>
      <c r="O964" s="5"/>
      <c r="P964" s="5"/>
      <c r="Q964" s="5"/>
      <c r="R964" s="5"/>
      <c r="S964" s="5"/>
      <c r="T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18"/>
      <c r="K965" s="5"/>
      <c r="L965" s="5"/>
      <c r="M965" s="5"/>
      <c r="N965" s="5"/>
      <c r="O965" s="5"/>
      <c r="P965" s="5"/>
      <c r="Q965" s="5"/>
      <c r="R965" s="5"/>
      <c r="S965" s="5"/>
      <c r="T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18"/>
      <c r="K966" s="5"/>
      <c r="L966" s="5"/>
      <c r="M966" s="5"/>
      <c r="N966" s="5"/>
      <c r="O966" s="5"/>
      <c r="P966" s="5"/>
      <c r="Q966" s="5"/>
      <c r="R966" s="5"/>
      <c r="S966" s="5"/>
      <c r="T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18"/>
      <c r="K967" s="5"/>
      <c r="L967" s="5"/>
      <c r="M967" s="5"/>
      <c r="N967" s="5"/>
      <c r="O967" s="5"/>
      <c r="P967" s="5"/>
      <c r="Q967" s="5"/>
      <c r="R967" s="5"/>
      <c r="S967" s="5"/>
      <c r="T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18"/>
      <c r="K968" s="5"/>
      <c r="L968" s="5"/>
      <c r="M968" s="5"/>
      <c r="N968" s="5"/>
      <c r="O968" s="5"/>
      <c r="P968" s="5"/>
      <c r="Q968" s="5"/>
      <c r="R968" s="5"/>
      <c r="S968" s="5"/>
      <c r="T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18"/>
      <c r="K969" s="5"/>
      <c r="L969" s="5"/>
      <c r="M969" s="5"/>
      <c r="N969" s="5"/>
      <c r="O969" s="5"/>
      <c r="P969" s="5"/>
      <c r="Q969" s="5"/>
      <c r="R969" s="5"/>
      <c r="S969" s="5"/>
      <c r="T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18"/>
      <c r="K970" s="5"/>
      <c r="L970" s="5"/>
      <c r="M970" s="5"/>
      <c r="N970" s="5"/>
      <c r="O970" s="5"/>
      <c r="P970" s="5"/>
      <c r="Q970" s="5"/>
      <c r="R970" s="5"/>
      <c r="S970" s="5"/>
      <c r="T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18"/>
      <c r="K971" s="5"/>
      <c r="L971" s="5"/>
      <c r="M971" s="5"/>
      <c r="N971" s="5"/>
      <c r="O971" s="5"/>
      <c r="P971" s="5"/>
      <c r="Q971" s="5"/>
      <c r="R971" s="5"/>
      <c r="S971" s="5"/>
      <c r="T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18"/>
      <c r="K972" s="5"/>
      <c r="L972" s="5"/>
      <c r="M972" s="5"/>
      <c r="N972" s="5"/>
      <c r="O972" s="5"/>
      <c r="P972" s="5"/>
      <c r="Q972" s="5"/>
      <c r="R972" s="5"/>
      <c r="S972" s="5"/>
      <c r="T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18"/>
      <c r="K973" s="5"/>
      <c r="L973" s="5"/>
      <c r="M973" s="5"/>
      <c r="N973" s="5"/>
      <c r="O973" s="5"/>
      <c r="P973" s="5"/>
      <c r="Q973" s="5"/>
      <c r="R973" s="5"/>
      <c r="S973" s="5"/>
      <c r="T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18"/>
      <c r="K974" s="5"/>
      <c r="L974" s="5"/>
      <c r="M974" s="5"/>
      <c r="N974" s="5"/>
      <c r="O974" s="5"/>
      <c r="P974" s="5"/>
      <c r="Q974" s="5"/>
      <c r="R974" s="5"/>
      <c r="S974" s="5"/>
      <c r="T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18"/>
      <c r="K975" s="5"/>
      <c r="L975" s="5"/>
      <c r="M975" s="5"/>
      <c r="N975" s="5"/>
      <c r="O975" s="5"/>
      <c r="P975" s="5"/>
      <c r="Q975" s="5"/>
      <c r="R975" s="5"/>
      <c r="S975" s="5"/>
      <c r="T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18"/>
      <c r="K976" s="5"/>
      <c r="L976" s="5"/>
      <c r="M976" s="5"/>
      <c r="N976" s="5"/>
      <c r="O976" s="5"/>
      <c r="P976" s="5"/>
      <c r="Q976" s="5"/>
      <c r="R976" s="5"/>
      <c r="S976" s="5"/>
      <c r="T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18"/>
      <c r="K977" s="5"/>
      <c r="L977" s="5"/>
      <c r="M977" s="5"/>
      <c r="N977" s="5"/>
      <c r="O977" s="5"/>
      <c r="P977" s="5"/>
      <c r="Q977" s="5"/>
      <c r="R977" s="5"/>
      <c r="S977" s="5"/>
      <c r="T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18"/>
      <c r="K978" s="5"/>
      <c r="L978" s="5"/>
      <c r="M978" s="5"/>
      <c r="N978" s="5"/>
      <c r="O978" s="5"/>
      <c r="P978" s="5"/>
      <c r="Q978" s="5"/>
      <c r="R978" s="5"/>
      <c r="S978" s="5"/>
      <c r="T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18"/>
      <c r="K979" s="5"/>
      <c r="L979" s="5"/>
      <c r="M979" s="5"/>
      <c r="N979" s="5"/>
      <c r="O979" s="5"/>
      <c r="P979" s="5"/>
      <c r="Q979" s="5"/>
      <c r="R979" s="5"/>
      <c r="S979" s="5"/>
      <c r="T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18"/>
      <c r="K980" s="5"/>
      <c r="L980" s="5"/>
      <c r="M980" s="5"/>
      <c r="N980" s="5"/>
      <c r="O980" s="5"/>
      <c r="P980" s="5"/>
      <c r="Q980" s="5"/>
      <c r="R980" s="5"/>
      <c r="S980" s="5"/>
      <c r="T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18"/>
      <c r="K981" s="5"/>
      <c r="L981" s="5"/>
      <c r="M981" s="5"/>
      <c r="N981" s="5"/>
      <c r="O981" s="5"/>
      <c r="P981" s="5"/>
      <c r="Q981" s="5"/>
      <c r="R981" s="5"/>
      <c r="S981" s="5"/>
      <c r="T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18"/>
      <c r="K982" s="5"/>
      <c r="L982" s="5"/>
      <c r="M982" s="5"/>
      <c r="N982" s="5"/>
      <c r="O982" s="5"/>
      <c r="P982" s="5"/>
      <c r="Q982" s="5"/>
      <c r="R982" s="5"/>
      <c r="S982" s="5"/>
      <c r="T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18"/>
      <c r="K983" s="5"/>
      <c r="L983" s="5"/>
      <c r="M983" s="5"/>
      <c r="N983" s="5"/>
      <c r="O983" s="5"/>
      <c r="P983" s="5"/>
      <c r="Q983" s="5"/>
      <c r="R983" s="5"/>
      <c r="S983" s="5"/>
      <c r="T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18"/>
      <c r="K984" s="5"/>
      <c r="L984" s="5"/>
      <c r="M984" s="5"/>
      <c r="N984" s="5"/>
      <c r="O984" s="5"/>
      <c r="P984" s="5"/>
      <c r="Q984" s="5"/>
      <c r="R984" s="5"/>
      <c r="S984" s="5"/>
      <c r="T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18"/>
      <c r="K985" s="5"/>
      <c r="L985" s="5"/>
      <c r="M985" s="5"/>
      <c r="N985" s="5"/>
      <c r="O985" s="5"/>
      <c r="P985" s="5"/>
      <c r="Q985" s="5"/>
      <c r="R985" s="5"/>
      <c r="S985" s="5"/>
      <c r="T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18"/>
      <c r="K986" s="5"/>
      <c r="L986" s="5"/>
      <c r="M986" s="5"/>
      <c r="N986" s="5"/>
      <c r="O986" s="5"/>
      <c r="P986" s="5"/>
      <c r="Q986" s="5"/>
      <c r="R986" s="5"/>
      <c r="S986" s="5"/>
      <c r="T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18"/>
      <c r="K987" s="5"/>
      <c r="L987" s="5"/>
      <c r="M987" s="5"/>
      <c r="N987" s="5"/>
      <c r="O987" s="5"/>
      <c r="P987" s="5"/>
      <c r="Q987" s="5"/>
      <c r="R987" s="5"/>
      <c r="S987" s="5"/>
      <c r="T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18"/>
      <c r="K988" s="5"/>
      <c r="L988" s="5"/>
      <c r="M988" s="5"/>
      <c r="N988" s="5"/>
      <c r="O988" s="5"/>
      <c r="P988" s="5"/>
      <c r="Q988" s="5"/>
      <c r="R988" s="5"/>
      <c r="S988" s="5"/>
      <c r="T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18"/>
      <c r="K989" s="5"/>
      <c r="L989" s="5"/>
      <c r="M989" s="5"/>
      <c r="N989" s="5"/>
      <c r="O989" s="5"/>
      <c r="P989" s="5"/>
      <c r="Q989" s="5"/>
      <c r="R989" s="5"/>
      <c r="S989" s="5"/>
      <c r="T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18"/>
      <c r="K990" s="5"/>
      <c r="L990" s="5"/>
      <c r="M990" s="5"/>
      <c r="N990" s="5"/>
      <c r="O990" s="5"/>
      <c r="P990" s="5"/>
      <c r="Q990" s="5"/>
      <c r="R990" s="5"/>
      <c r="S990" s="5"/>
      <c r="T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18"/>
      <c r="K991" s="5"/>
      <c r="L991" s="5"/>
      <c r="M991" s="5"/>
      <c r="N991" s="5"/>
      <c r="O991" s="5"/>
      <c r="P991" s="5"/>
      <c r="Q991" s="5"/>
      <c r="R991" s="5"/>
      <c r="S991" s="5"/>
      <c r="T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18"/>
      <c r="K992" s="5"/>
      <c r="L992" s="5"/>
      <c r="M992" s="5"/>
      <c r="N992" s="5"/>
      <c r="O992" s="5"/>
      <c r="P992" s="5"/>
      <c r="Q992" s="5"/>
      <c r="R992" s="5"/>
      <c r="S992" s="5"/>
      <c r="T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18"/>
      <c r="K993" s="5"/>
      <c r="L993" s="5"/>
      <c r="M993" s="5"/>
      <c r="N993" s="5"/>
      <c r="O993" s="5"/>
      <c r="P993" s="5"/>
      <c r="Q993" s="5"/>
      <c r="R993" s="5"/>
      <c r="S993" s="5"/>
      <c r="T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18"/>
      <c r="K994" s="5"/>
      <c r="L994" s="5"/>
      <c r="M994" s="5"/>
      <c r="N994" s="5"/>
      <c r="O994" s="5"/>
      <c r="P994" s="5"/>
      <c r="Q994" s="5"/>
      <c r="R994" s="5"/>
      <c r="S994" s="5"/>
      <c r="T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18"/>
      <c r="K995" s="5"/>
      <c r="L995" s="5"/>
      <c r="M995" s="5"/>
      <c r="N995" s="5"/>
      <c r="O995" s="5"/>
      <c r="P995" s="5"/>
      <c r="Q995" s="5"/>
      <c r="R995" s="5"/>
      <c r="S995" s="5"/>
      <c r="T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18"/>
      <c r="K996" s="5"/>
      <c r="L996" s="5"/>
      <c r="M996" s="5"/>
      <c r="N996" s="5"/>
      <c r="O996" s="5"/>
      <c r="P996" s="5"/>
      <c r="Q996" s="5"/>
      <c r="R996" s="5"/>
      <c r="S996" s="5"/>
      <c r="T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18"/>
      <c r="K997" s="5"/>
      <c r="L997" s="5"/>
      <c r="M997" s="5"/>
      <c r="N997" s="5"/>
      <c r="O997" s="5"/>
      <c r="P997" s="5"/>
      <c r="Q997" s="5"/>
      <c r="R997" s="5"/>
      <c r="S997" s="5"/>
      <c r="T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18"/>
      <c r="K998" s="5"/>
      <c r="L998" s="5"/>
      <c r="M998" s="5"/>
      <c r="N998" s="5"/>
      <c r="O998" s="5"/>
      <c r="P998" s="5"/>
      <c r="Q998" s="5"/>
      <c r="R998" s="5"/>
      <c r="S998" s="5"/>
      <c r="T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18"/>
      <c r="K999" s="5"/>
      <c r="L999" s="5"/>
      <c r="M999" s="5"/>
      <c r="N999" s="5"/>
      <c r="O999" s="5"/>
      <c r="P999" s="5"/>
      <c r="Q999" s="5"/>
      <c r="R999" s="5"/>
      <c r="S999" s="5"/>
      <c r="T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18"/>
      <c r="K1000" s="5"/>
      <c r="L1000" s="5"/>
      <c r="M1000" s="5"/>
      <c r="N1000" s="5"/>
      <c r="O1000" s="5"/>
      <c r="P1000" s="5"/>
      <c r="Q1000" s="5"/>
      <c r="R1000" s="5"/>
      <c r="S1000" s="5"/>
      <c r="T1000" s="5"/>
    </row>
  </sheetData>
  <mergeCells count="9">
    <mergeCell ref="I1:I3"/>
    <mergeCell ref="J1:J3"/>
    <mergeCell ref="A1:A3"/>
    <mergeCell ref="B1:B3"/>
    <mergeCell ref="D1:D3"/>
    <mergeCell ref="E1:E3"/>
    <mergeCell ref="F1:F3"/>
    <mergeCell ref="G1:G3"/>
    <mergeCell ref="H1:H3"/>
  </mergeCells>
  <conditionalFormatting sqref="H5:I8 J6:J8 H10:H26 I10:I15 J11 J13:J14 I17:I19 I21:I26 H28:I29 H32:I33 H36:I38 H40:I43 H45:I48">
    <cfRule type="colorScale" priority="1">
      <colorScale>
        <cfvo type="min"/>
        <cfvo type="max"/>
        <color rgb="FFFFFFFF"/>
        <color rgb="FF57BB8A"/>
      </colorScale>
    </cfRule>
  </conditionalFormatting>
  <conditionalFormatting sqref="H5:I8 J6:J8 H10:H26 I10:I15 J11 J13:J14 I17:I19 I21:I26 H28:I29 H32:I33 H36:I38 H40:I43 H45:I48">
    <cfRule type="colorScale" priority="2">
      <colorScale>
        <cfvo type="min"/>
        <cfvo type="max"/>
        <color rgb="FF57BB8A"/>
        <color rgb="FFFFFFFF"/>
      </colorScale>
    </cfRule>
  </conditionalFormatting>
  <hyperlinks>
    <hyperlink r:id="rId1" ref="J6"/>
    <hyperlink r:id="rId2" ref="J7"/>
    <hyperlink r:id="rId3" ref="J11"/>
    <hyperlink r:id="rId4" ref="J14"/>
    <hyperlink r:id="rId5" ref="J20"/>
  </hyperlinks>
  <printOptions/>
  <pageMargins bottom="0.75" footer="0.0" header="0.0" left="0.7" right="0.7" top="0.75"/>
  <pageSetup orientation="landscape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60.0"/>
    <col customWidth="1" min="3" max="26" width="8.63"/>
  </cols>
  <sheetData>
    <row r="1" ht="12.75" customHeight="1">
      <c r="A1" s="62" t="s">
        <v>374</v>
      </c>
    </row>
    <row r="2" ht="12.75" customHeight="1"/>
    <row r="3" ht="12.75" customHeight="1">
      <c r="A3" s="63" t="s">
        <v>375</v>
      </c>
      <c r="B3" s="64" t="s">
        <v>376</v>
      </c>
    </row>
    <row r="4" ht="12.75" customHeight="1">
      <c r="A4" s="65" t="s">
        <v>377</v>
      </c>
      <c r="B4" s="64" t="s">
        <v>378</v>
      </c>
    </row>
    <row r="5" ht="12.75" customHeight="1">
      <c r="A5" s="66" t="s">
        <v>379</v>
      </c>
      <c r="B5" s="64" t="s">
        <v>380</v>
      </c>
    </row>
    <row r="6" ht="12.75" customHeight="1">
      <c r="A6" s="67" t="s">
        <v>16</v>
      </c>
      <c r="B6" s="64" t="s">
        <v>381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